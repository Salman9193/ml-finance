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mansu Sethi\Desktop\ML_Finance\"/>
    </mc:Choice>
  </mc:AlternateContent>
  <xr:revisionPtr revIDLastSave="0" documentId="13_ncr:1_{3A4426C8-BAE7-453A-8479-36D3EB1135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unda" sheetId="11" r:id="rId1"/>
    <sheet name="Titan BS" sheetId="2" r:id="rId2"/>
    <sheet name="Titan PL" sheetId="3" r:id="rId3"/>
    <sheet name="Answer key" sheetId="4" state="hidden" r:id="rId4"/>
    <sheet name="Avenue Supmrt_PL" sheetId="5" r:id="rId5"/>
    <sheet name="Avenue Supmrt_BS" sheetId="6" r:id="rId6"/>
    <sheet name="Change in Inv." sheetId="12" r:id="rId7"/>
    <sheet name="Example of Data Struc" sheetId="1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2" l="1"/>
  <c r="J12" i="12"/>
  <c r="K12" i="12"/>
  <c r="E12" i="12"/>
  <c r="F12" i="12"/>
  <c r="K11" i="12"/>
  <c r="J11" i="12"/>
  <c r="J13" i="12" s="1"/>
  <c r="I11" i="12"/>
  <c r="F11" i="12"/>
  <c r="F13" i="12" s="1"/>
  <c r="E11" i="12"/>
  <c r="D12" i="12"/>
  <c r="D13" i="12" s="1"/>
  <c r="I8" i="12"/>
  <c r="J8" i="12"/>
  <c r="K8" i="12"/>
  <c r="E8" i="12"/>
  <c r="F8" i="12"/>
  <c r="D8" i="12"/>
  <c r="H19" i="6"/>
  <c r="I13" i="12" l="1"/>
  <c r="K13" i="12"/>
  <c r="E13" i="12"/>
  <c r="I20" i="6"/>
  <c r="H20" i="6"/>
  <c r="I43" i="6"/>
  <c r="H43" i="6"/>
  <c r="I42" i="6"/>
  <c r="H42" i="6"/>
  <c r="I41" i="6"/>
  <c r="H41" i="6"/>
  <c r="I40" i="6"/>
  <c r="H40" i="6"/>
  <c r="L45" i="2"/>
  <c r="M37" i="2"/>
  <c r="M36" i="2"/>
  <c r="L36" i="2"/>
  <c r="L37" i="2" s="1"/>
  <c r="M33" i="2"/>
  <c r="M35" i="2" s="1"/>
  <c r="L33" i="2"/>
  <c r="L35" i="2" s="1"/>
  <c r="F11" i="3"/>
  <c r="E11" i="3"/>
  <c r="M29" i="2"/>
  <c r="M31" i="2" s="1"/>
  <c r="L29" i="2"/>
  <c r="L32" i="2"/>
  <c r="P32" i="2"/>
  <c r="L25" i="2"/>
  <c r="L23" i="2"/>
  <c r="L18" i="2"/>
  <c r="L14" i="2"/>
  <c r="L13" i="2"/>
  <c r="L9" i="2"/>
  <c r="M7" i="3"/>
  <c r="M5" i="3"/>
  <c r="L5" i="3"/>
  <c r="L7" i="3"/>
  <c r="I51" i="6" l="1"/>
  <c r="H51" i="6"/>
  <c r="I44" i="6"/>
  <c r="H44" i="6"/>
  <c r="I34" i="6"/>
  <c r="H34" i="6"/>
  <c r="I33" i="6"/>
  <c r="H33" i="6"/>
  <c r="I21" i="6"/>
  <c r="I25" i="6" s="1"/>
  <c r="H21" i="6"/>
  <c r="H25" i="6" s="1"/>
  <c r="I19" i="6"/>
  <c r="I24" i="6" s="1"/>
  <c r="H24" i="6"/>
  <c r="I18" i="6"/>
  <c r="I23" i="6" s="1"/>
  <c r="H18" i="6"/>
  <c r="H23" i="6" s="1"/>
  <c r="H14" i="6"/>
  <c r="I14" i="6"/>
  <c r="I13" i="6"/>
  <c r="H13" i="6"/>
  <c r="I12" i="6"/>
  <c r="H12" i="6"/>
  <c r="I7" i="6"/>
  <c r="H7" i="6"/>
  <c r="I6" i="6"/>
  <c r="H6" i="6"/>
  <c r="I5" i="6"/>
  <c r="H5" i="6"/>
  <c r="I27" i="6" l="1"/>
  <c r="I28" i="6"/>
  <c r="H28" i="6"/>
  <c r="H27" i="6"/>
  <c r="M25" i="2"/>
  <c r="M5" i="2"/>
  <c r="L5" i="2"/>
  <c r="M21" i="2" l="1"/>
  <c r="L19" i="2"/>
  <c r="M19" i="2"/>
  <c r="L17" i="2"/>
  <c r="L42" i="2" l="1"/>
  <c r="M45" i="2" l="1"/>
  <c r="L44" i="2"/>
  <c r="G5" i="3"/>
  <c r="F5" i="3"/>
  <c r="I40" i="2" l="1"/>
  <c r="L31" i="2"/>
  <c r="M26" i="2"/>
  <c r="M27" i="2" s="1"/>
  <c r="L26" i="2"/>
  <c r="L27" i="2" s="1"/>
  <c r="L21" i="2"/>
  <c r="M14" i="2"/>
  <c r="M15" i="2" s="1"/>
  <c r="L15" i="2"/>
  <c r="M13" i="2"/>
  <c r="M10" i="2"/>
  <c r="M11" i="2" s="1"/>
  <c r="L10" i="2"/>
  <c r="L11" i="2" s="1"/>
  <c r="M9" i="2"/>
  <c r="M6" i="2"/>
  <c r="M7" i="2" s="1"/>
  <c r="L6" i="2"/>
  <c r="L7" i="2" s="1"/>
  <c r="L8" i="3"/>
  <c r="G18" i="3"/>
  <c r="M9" i="3" s="1"/>
  <c r="F18" i="3"/>
  <c r="L9" i="3" l="1"/>
  <c r="L6" i="3"/>
  <c r="M6" i="3"/>
  <c r="M46" i="2"/>
  <c r="L46" i="2"/>
  <c r="L43" i="2"/>
  <c r="N26" i="2"/>
</calcChain>
</file>

<file path=xl/sharedStrings.xml><?xml version="1.0" encoding="utf-8"?>
<sst xmlns="http://schemas.openxmlformats.org/spreadsheetml/2006/main" count="665" uniqueCount="500">
  <si>
    <t>(a)      Property, plant and equipment</t>
  </si>
  <si>
    <t>2024 </t>
  </si>
  <si>
    <r>
      <t>Standalone balance sheet
as at 31</t>
    </r>
    <r>
      <rPr>
        <vertAlign val="superscript"/>
        <sz val="12"/>
        <color theme="1"/>
        <rFont val="Times New Roman"/>
        <family val="1"/>
      </rPr>
      <t xml:space="preserve">st  </t>
    </r>
    <r>
      <rPr>
        <sz val="12"/>
        <color theme="1"/>
        <rFont val="Times New Roman"/>
        <family val="1"/>
      </rPr>
      <t>March 2025</t>
    </r>
  </si>
  <si>
    <t>Particulars</t>
  </si>
  <si>
    <t>ASSETS</t>
  </si>
  <si>
    <t>(1)     Non-current assets</t>
  </si>
  <si>
    <t>(c)      Right-of-use assets</t>
  </si>
  <si>
    <t>(d)      Investment property</t>
  </si>
  <si>
    <t>(f)       Intangible assets under development</t>
  </si>
  <si>
    <t>(g)      Financial assets</t>
  </si>
  <si>
    <t>(i)       Investments</t>
  </si>
  <si>
    <t>(h)      Deferred tax assets (net)</t>
  </si>
  <si>
    <t>(i)       Income tax assets (net)</t>
  </si>
  <si>
    <t>(j)       Other non-current assets</t>
  </si>
  <si>
    <t>(2)     Current assets</t>
  </si>
  <si>
    <t>(a)      Inventories</t>
  </si>
  <si>
    <t>(b)      Financial assets</t>
  </si>
  <si>
    <t>(ii)      Trade receivables</t>
  </si>
  <si>
    <t>(iii)      Cash and cash equivalents</t>
  </si>
  <si>
    <t>(iv)      Bank balances other than (iii) above</t>
  </si>
  <si>
    <t>(c)      Other current assets</t>
  </si>
  <si>
    <t>TOTAL ASSETS</t>
  </si>
  <si>
    <t>EQUITY AND LIABILITIES</t>
  </si>
  <si>
    <t>Equity</t>
  </si>
  <si>
    <t>(a)      Equity share capital</t>
  </si>
  <si>
    <t>(b)      Other equity</t>
  </si>
  <si>
    <t>TOTAL EQUITY</t>
  </si>
  <si>
    <t>Liabilities</t>
  </si>
  <si>
    <t>(1)     Non-current liabilities</t>
  </si>
  <si>
    <t>(a)      Financial liabilities</t>
  </si>
  <si>
    <t>(2)     Current liabilities</t>
  </si>
  <si>
    <t>(iv)      Trade payables</t>
  </si>
  <si>
    <t>-         Total outstanding dues of micro and small enterprises</t>
  </si>
  <si>
    <t>-         Total outstanding dues of creditors other than micro and small
enterprises</t>
  </si>
  <si>
    <t>(b)      Other current liabilities</t>
  </si>
  <si>
    <t>(d)      Current tax liabilities (net)</t>
  </si>
  <si>
    <t>TOTAL EQUITY AND LIABILITIES</t>
  </si>
  <si>
    <t>Material accounting policies</t>
  </si>
  <si>
    <t>I.       Revenue from operations</t>
  </si>
  <si>
    <t>II.      Other income</t>
  </si>
  <si>
    <t>III.    Total income (I +II)</t>
  </si>
  <si>
    <t>IV.     Expenses:</t>
  </si>
  <si>
    <t>Cost of raw materials and components consumed</t>
  </si>
  <si>
    <t>Purchase of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</si>
  <si>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</si>
  <si>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</si>
  <si>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</si>
  <si>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</si>
  <si>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</si>
  <si>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V.     Profit before tax (III - IV)</t>
  </si>
  <si>
    <t>VI.    Tax expense:</t>
  </si>
  <si>
    <t>Current tax</t>
  </si>
  <si>
    <t>Deferred tax</t>
  </si>
  <si>
    <t>Total tax expense</t>
  </si>
  <si>
    <t>VII.   Profit for the year (V-VI)</t>
  </si>
  <si>
    <t>VIII.  Other comprehensive income</t>
  </si>
  <si>
    <t>Items that will not be reclassified to the statement of profit and loss</t>
  </si>
  <si>
    <t>-       Remeasurement of employee defined benefit plans</t>
  </si>
  <si>
    <t>-       Income-tax on above</t>
  </si>
  <si>
    <t>Total other comprehensive loss</t>
  </si>
  <si>
    <t>IX.    Total comprehensive income (VII+VIII)</t>
  </si>
  <si>
    <t>X.     Earnings per equity share of ` 1:</t>
  </si>
  <si>
    <t>{based on profit for the year (V)}</t>
  </si>
  <si>
    <t>Basic</t>
  </si>
  <si>
    <t>Diluted</t>
  </si>
  <si>
    <r>
      <t>Standalone statement of profit and loss
for the year ended 31</t>
    </r>
    <r>
      <rPr>
        <vertAlign val="superscript"/>
        <sz val="12"/>
        <color theme="1"/>
        <rFont val="Times New Roman"/>
        <family val="1"/>
      </rPr>
      <t xml:space="preserve">st  </t>
    </r>
    <r>
      <rPr>
        <sz val="12"/>
        <color theme="1"/>
        <rFont val="Times New Roman"/>
        <family val="1"/>
      </rPr>
      <t>March 2025</t>
    </r>
  </si>
  <si>
    <r>
      <t>Changes in inventories of finished goods, stock-in-trade and work-in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progress</t>
    </r>
  </si>
  <si>
    <t>EBIT</t>
  </si>
  <si>
    <t>expectional expenses</t>
  </si>
  <si>
    <t>Quick Assest</t>
  </si>
  <si>
    <t>Net Working Capital</t>
  </si>
  <si>
    <t>Total Debt</t>
  </si>
  <si>
    <t>PAT</t>
  </si>
  <si>
    <t>OP REVENUE</t>
  </si>
  <si>
    <t>EPS</t>
  </si>
  <si>
    <t>Fixed assets</t>
  </si>
  <si>
    <t>Price</t>
  </si>
  <si>
    <t>Market capitalisation on 2025 (in Cr.)</t>
  </si>
  <si>
    <t>Total share outstanding (in Cr.)</t>
  </si>
  <si>
    <t>(i)       Long term Borrowings</t>
  </si>
  <si>
    <t>(b)     Long term Provisions</t>
  </si>
  <si>
    <t>(i)       Short term Borrowings</t>
  </si>
  <si>
    <t>(c)      Short term Provisions</t>
  </si>
  <si>
    <t>(ii)      Long term Lease liabilities</t>
  </si>
  <si>
    <t>(iii)      Short term Lease liabilities</t>
  </si>
  <si>
    <t>Dividend Paid</t>
  </si>
  <si>
    <t>Sales Gross</t>
  </si>
  <si>
    <t>Sales Return</t>
  </si>
  <si>
    <t>EBITDA Margin (%) for Mar-25 is:</t>
  </si>
  <si>
    <t>Net Profit Margin (%) for Mar-24 is:</t>
  </si>
  <si>
    <t>EBIT Margin (%) for Mar-25 is:</t>
  </si>
  <si>
    <t xml:space="preserve">Decreases </t>
  </si>
  <si>
    <t xml:space="preserve"> % Change in Other Income from Mar-24 to Mar-25 is:</t>
  </si>
  <si>
    <t>Dividend Yield %</t>
  </si>
  <si>
    <t>DPS</t>
  </si>
  <si>
    <t>Dividend payout ratio %</t>
  </si>
  <si>
    <t>DPS/EPS</t>
  </si>
  <si>
    <t>Interest Coverage Ratio for Mar-25 is:</t>
  </si>
  <si>
    <t>P/E Ratio (Mar-25) is:</t>
  </si>
  <si>
    <t>Questions</t>
  </si>
  <si>
    <t>Answer Key</t>
  </si>
  <si>
    <t>Btech</t>
  </si>
  <si>
    <t>MBA</t>
  </si>
  <si>
    <t>D</t>
  </si>
  <si>
    <t>C</t>
  </si>
  <si>
    <t xml:space="preserve">A </t>
  </si>
  <si>
    <t>B</t>
  </si>
  <si>
    <t>E</t>
  </si>
  <si>
    <t>A</t>
  </si>
  <si>
    <t>(v)        Other short term financial liabilities</t>
  </si>
  <si>
    <t>(v)      Loans and advances less than 9 months</t>
  </si>
  <si>
    <t>(e)      Intangible assets (trade marks)</t>
  </si>
  <si>
    <t>(iii)      Other long trem financial assets</t>
  </si>
  <si>
    <t>(b)      Capital work-in-progress (Projects under construction)</t>
  </si>
  <si>
    <t xml:space="preserve">(i)       Investments (quoted market value) </t>
  </si>
  <si>
    <t>(vi)      Other financial assets less than 9 months</t>
  </si>
  <si>
    <t>(ii)     long term  Loans and advances</t>
  </si>
  <si>
    <t>(ii)      Gold on loan (less than 3 months)</t>
  </si>
  <si>
    <t>Year</t>
  </si>
  <si>
    <t>INCOME :</t>
  </si>
  <si>
    <t xml:space="preserve"> Sales Turnover </t>
  </si>
  <si>
    <t>Excise Duty</t>
  </si>
  <si>
    <t>Net Sales</t>
  </si>
  <si>
    <t xml:space="preserve"> Other Income </t>
  </si>
  <si>
    <t xml:space="preserve"> Stock Adjustments </t>
  </si>
  <si>
    <t>Total Income</t>
  </si>
  <si>
    <t>EXPENDITURE :</t>
  </si>
  <si>
    <t xml:space="preserve"> Power &amp; Fuel Cost </t>
  </si>
  <si>
    <t xml:space="preserve"> Employee Cost </t>
  </si>
  <si>
    <t xml:space="preserve"> Other Manufacturing Expenses </t>
  </si>
  <si>
    <t xml:space="preserve"> Selling and Administration Expenses </t>
  </si>
  <si>
    <t xml:space="preserve"> Miscellaneous Expenses </t>
  </si>
  <si>
    <t xml:space="preserve"> Less: Pre-operative Expenses Capitalised </t>
  </si>
  <si>
    <t>Total Expenditure</t>
  </si>
  <si>
    <t xml:space="preserve"> Interest </t>
  </si>
  <si>
    <t>Gross Profit</t>
  </si>
  <si>
    <t xml:space="preserve"> Depreciation </t>
  </si>
  <si>
    <t>Minority Interest (before tax)</t>
  </si>
  <si>
    <t>Profit Before Tax</t>
  </si>
  <si>
    <t xml:space="preserve"> Tax </t>
  </si>
  <si>
    <t xml:space="preserve"> Fringe Benefit Tax </t>
  </si>
  <si>
    <t xml:space="preserve"> Deferred Tax </t>
  </si>
  <si>
    <t>Net Profit</t>
  </si>
  <si>
    <t>Minority Interest (after tax)</t>
  </si>
  <si>
    <t>Profit/Loss of Associate Company</t>
  </si>
  <si>
    <t>Net Profit after Minority Interest &amp; P/L Asso.Co.</t>
  </si>
  <si>
    <t xml:space="preserve"> Extraordinary Items </t>
  </si>
  <si>
    <t>Adjusted Net Profit</t>
  </si>
  <si>
    <t xml:space="preserve"> Adjst. below Net Profit </t>
  </si>
  <si>
    <t>P &amp; L Balance brought forward</t>
  </si>
  <si>
    <t>Statutory Appropriations</t>
  </si>
  <si>
    <t xml:space="preserve"> Appropriations </t>
  </si>
  <si>
    <t>P &amp; L Balance carried down</t>
  </si>
  <si>
    <t>Dividend</t>
  </si>
  <si>
    <t>Preference Dividend</t>
  </si>
  <si>
    <t>Equity Dividend (%)</t>
  </si>
  <si>
    <t>Dividend Per Share(Rs)</t>
  </si>
  <si>
    <t>EPS before Minority Interest (Unit Curr.)</t>
  </si>
  <si>
    <t>EPS before Minority Interest (Adj) (Unit Curr.)</t>
  </si>
  <si>
    <t>EPS after Minority Interest (Unit Curr.)</t>
  </si>
  <si>
    <t>EPS after Minority Interest (Adj) (Unit Curr.)</t>
  </si>
  <si>
    <t>Book Value (Unit Curr.)</t>
  </si>
  <si>
    <t>Book Value (Adj) (Unit Curr.)</t>
  </si>
  <si>
    <t>Dividend Per Share Adj.(Rs)</t>
  </si>
  <si>
    <t>Disclaimer:-</t>
  </si>
  <si>
    <t>Profit &amp; Loss Avenue Supermarts Ltd(Curr. in )</t>
  </si>
  <si>
    <t>Non-Current Assets:</t>
  </si>
  <si>
    <t>Fixed Assets</t>
  </si>
  <si>
    <t xml:space="preserve">  Property, Plant and Equipment </t>
  </si>
  <si>
    <t xml:space="preserve">  Capital Work in Progress </t>
  </si>
  <si>
    <t xml:space="preserve">  Right-of-Use Assets </t>
  </si>
  <si>
    <t xml:space="preserve">  Intangible Assets </t>
  </si>
  <si>
    <t>Intangible Assets under Development</t>
  </si>
  <si>
    <t>Fixed Assets Held For Sale</t>
  </si>
  <si>
    <t>Lease Adjustment</t>
  </si>
  <si>
    <t xml:space="preserve"> Biological Assets other than Bearer Plants </t>
  </si>
  <si>
    <t>Non-current Investments</t>
  </si>
  <si>
    <t xml:space="preserve">  Investment Properties </t>
  </si>
  <si>
    <t xml:space="preserve">  Investments in Subsidiaries, Associates and Joint venture </t>
  </si>
  <si>
    <t>Financial Assets :</t>
  </si>
  <si>
    <t xml:space="preserve">  Investments of Life Insurance Business </t>
  </si>
  <si>
    <t xml:space="preserve">  Investments - Long-term </t>
  </si>
  <si>
    <t xml:space="preserve">  Loans - Long - Term </t>
  </si>
  <si>
    <t xml:space="preserve">  Others Financial Assets - Long-term </t>
  </si>
  <si>
    <t xml:space="preserve"> Non Current Tax Assets - Long - Term </t>
  </si>
  <si>
    <t xml:space="preserve"> Insurance Related Assets </t>
  </si>
  <si>
    <t xml:space="preserve"> Other Non-current Assets </t>
  </si>
  <si>
    <t xml:space="preserve"> Deferred Tax Assets (Net) </t>
  </si>
  <si>
    <t>Total Reported Non-current Assets</t>
  </si>
  <si>
    <t>Current Assets:</t>
  </si>
  <si>
    <t xml:space="preserve"> Inventories </t>
  </si>
  <si>
    <t xml:space="preserve">  Current Investments </t>
  </si>
  <si>
    <t xml:space="preserve">  Trade Receivables </t>
  </si>
  <si>
    <t xml:space="preserve">  Cash and Cash Equivalents </t>
  </si>
  <si>
    <t xml:space="preserve">  Bank Balances Other Than Cash and Cash Equivalents </t>
  </si>
  <si>
    <t xml:space="preserve">  Loans - Short-term </t>
  </si>
  <si>
    <t xml:space="preserve">  Others Financial Assets - Short-term </t>
  </si>
  <si>
    <t xml:space="preserve"> Current Tax Assets - Short-term </t>
  </si>
  <si>
    <t xml:space="preserve"> Other Current Assets </t>
  </si>
  <si>
    <t xml:space="preserve"> Assets Classified as Held for Sale </t>
  </si>
  <si>
    <t>Total Current Assets</t>
  </si>
  <si>
    <t>Foreign Currency Monetary Item Translation Difference Account</t>
  </si>
  <si>
    <t xml:space="preserve"> Regulatory Deferral Account - Debit Balance </t>
  </si>
  <si>
    <t xml:space="preserve"> Non-Current Assets Classified as Held for Sale </t>
  </si>
  <si>
    <t>Total Non-Current and Other Assets</t>
  </si>
  <si>
    <t>Total Assets</t>
  </si>
  <si>
    <t xml:space="preserve"> Share Capital </t>
  </si>
  <si>
    <t>Number of Equity Shares - Bought Back during the Current period</t>
  </si>
  <si>
    <t>Number of Total Bonus Shares Issued upto Current period</t>
  </si>
  <si>
    <t>Number of Equity Shares - Paid Up</t>
  </si>
  <si>
    <t>Paid Up Capital</t>
  </si>
  <si>
    <t>Treasury Shares</t>
  </si>
  <si>
    <t>Number of Bonus Shares Issued During the Current Period.</t>
  </si>
  <si>
    <t>Number of Shares Splitted During the Current Period.</t>
  </si>
  <si>
    <t xml:space="preserve"> Other Equity </t>
  </si>
  <si>
    <t>Money Received Against Share Warrants</t>
  </si>
  <si>
    <t xml:space="preserve"> Employee Stock Options / Others </t>
  </si>
  <si>
    <t>Share Application Money Pending Allotment</t>
  </si>
  <si>
    <t>Total Stockholders’ Equity</t>
  </si>
  <si>
    <t>Total Reported Stockholders’ Equity</t>
  </si>
  <si>
    <t>Minority Interest</t>
  </si>
  <si>
    <t>Total Equity</t>
  </si>
  <si>
    <t>Non-Current Liabilities:</t>
  </si>
  <si>
    <t xml:space="preserve">  Long Term Borrowings </t>
  </si>
  <si>
    <t>Lease Liabilities</t>
  </si>
  <si>
    <t xml:space="preserve">  Others Financial Liabilities - Long-term </t>
  </si>
  <si>
    <t xml:space="preserve"> Non Current Tax Liabilities - Long-term </t>
  </si>
  <si>
    <t xml:space="preserve"> Long-term Provisions </t>
  </si>
  <si>
    <t xml:space="preserve"> Deferred Tax Liabilities (Net) </t>
  </si>
  <si>
    <t xml:space="preserve"> Insurance Related Liabilities </t>
  </si>
  <si>
    <t xml:space="preserve"> Other Non-Current Liabilities </t>
  </si>
  <si>
    <t>Total Reported Non-current Liabilities</t>
  </si>
  <si>
    <t>Current Liabilities:</t>
  </si>
  <si>
    <t xml:space="preserve">  Short Term Borrowings </t>
  </si>
  <si>
    <t xml:space="preserve">  Trade Payables </t>
  </si>
  <si>
    <t xml:space="preserve">  Others Financial Liabilities - Short-term </t>
  </si>
  <si>
    <t xml:space="preserve"> Current Tax Liabilities - Short-term </t>
  </si>
  <si>
    <t xml:space="preserve"> Provisions </t>
  </si>
  <si>
    <t xml:space="preserve"> Other Current Liabilities </t>
  </si>
  <si>
    <t xml:space="preserve"> Liabilities Directly Associated with Assets Classified as Held for Sale </t>
  </si>
  <si>
    <t>Total Current Liabilities</t>
  </si>
  <si>
    <t>Hybrid Perpetual Securities</t>
  </si>
  <si>
    <t>Regulatory Deferral Account - Credit Balance</t>
  </si>
  <si>
    <t>Other Liabilities Excluding Equity, Non-Current and Current Liabilities</t>
  </si>
  <si>
    <t>Total Equity and Liabilities</t>
  </si>
  <si>
    <t xml:space="preserve"> Contingent Liabilities and Commitments (to the Extent Not Provided for) </t>
  </si>
  <si>
    <t>Book Value (Unit Curr)</t>
  </si>
  <si>
    <t>Liquidity Ratios</t>
  </si>
  <si>
    <t>Current Ratio</t>
  </si>
  <si>
    <t>Quick Ratio</t>
  </si>
  <si>
    <t>Cash Ratio</t>
  </si>
  <si>
    <t>Solvency Ratios</t>
  </si>
  <si>
    <t>Debt to Equity Ratio</t>
  </si>
  <si>
    <t>Total Debt to Assets Ratio</t>
  </si>
  <si>
    <t>Equity Multiplier</t>
  </si>
  <si>
    <t>Turnover/Efficiency Ratios</t>
  </si>
  <si>
    <t>Inventory Turnover</t>
  </si>
  <si>
    <t>Receivables Turnover</t>
  </si>
  <si>
    <t>Asset Turnover</t>
  </si>
  <si>
    <t>Payables Turnover</t>
  </si>
  <si>
    <t>No of Days of Inventory</t>
  </si>
  <si>
    <t>No of Days of Receivables</t>
  </si>
  <si>
    <t>No of Days of Payables</t>
  </si>
  <si>
    <t>Operating Cycle</t>
  </si>
  <si>
    <t>Cash Cycle</t>
  </si>
  <si>
    <t>Coverage Ratios</t>
  </si>
  <si>
    <t>Interest Coverage</t>
  </si>
  <si>
    <t>Cash Coverage</t>
  </si>
  <si>
    <t>Profiatbility Ratios</t>
  </si>
  <si>
    <t>Net Profit Margin</t>
  </si>
  <si>
    <t>Operating Profit Margin</t>
  </si>
  <si>
    <t>Return on Assets</t>
  </si>
  <si>
    <t>Return on Equity</t>
  </si>
  <si>
    <t>Return on Capital Employed</t>
  </si>
  <si>
    <t>DuPont Analysis</t>
  </si>
  <si>
    <t xml:space="preserve"> </t>
  </si>
  <si>
    <t>2024</t>
  </si>
  <si>
    <t>2025</t>
  </si>
  <si>
    <t>Column1</t>
  </si>
  <si>
    <t>Return on Assets (ROA)</t>
  </si>
  <si>
    <t>CA-Inventories</t>
  </si>
  <si>
    <t>Formula</t>
  </si>
  <si>
    <t>Indicates the ability to meet currently maturing obligations</t>
  </si>
  <si>
    <t>Indicates the ability to meet immediately maturing obligations</t>
  </si>
  <si>
    <t>Cash+Bank/CL</t>
  </si>
  <si>
    <t>(CA-Inventories)/CL</t>
  </si>
  <si>
    <t>CA-CL</t>
  </si>
  <si>
    <t>Inventory/NWC</t>
  </si>
  <si>
    <t>Long term Debt/Total Equity</t>
  </si>
  <si>
    <t>Indicates the proportion of funds provided by lenders/ creditors versus the funds by owners</t>
  </si>
  <si>
    <t>Indicates the proportion of funds provided by lenders/ creditors to Total Assets</t>
  </si>
  <si>
    <t>Indicates the proportion of current obligations which can be met with cash or cash equivalents</t>
  </si>
  <si>
    <t>Indicates the proportion of inventory in Working Capital</t>
  </si>
  <si>
    <t>NCL+CL</t>
  </si>
  <si>
    <t>Total Debt/Total assets</t>
  </si>
  <si>
    <t>Total Equity+NCL</t>
  </si>
  <si>
    <t>Indicates the return earned on Capital Employed</t>
  </si>
  <si>
    <t>Indicates the profit earned on Assets used</t>
  </si>
  <si>
    <t>PAT/TA</t>
  </si>
  <si>
    <t>PAT/TE</t>
  </si>
  <si>
    <t>Indicates the return earned on Owners Funds</t>
  </si>
  <si>
    <t>Total Revenue/TA</t>
  </si>
  <si>
    <t>Total Rev</t>
  </si>
  <si>
    <t>To assess the efficiency in utilization of Total Assets for generating revenue</t>
  </si>
  <si>
    <t>OP Rev / FA</t>
  </si>
  <si>
    <t>To assess the efficiency in utilization of Fixed Assets for generating revenue</t>
  </si>
  <si>
    <t>OP Rev /NWC</t>
  </si>
  <si>
    <t>NWC</t>
  </si>
  <si>
    <t>To assess the efficiency in utilization of Working Capital</t>
  </si>
  <si>
    <t>365/Acct Recv turnover</t>
  </si>
  <si>
    <t>OP Rev / Trade Recv</t>
  </si>
  <si>
    <t>To assess the efficiency in the management/collection of Accounts receivable</t>
  </si>
  <si>
    <t>COGS</t>
  </si>
  <si>
    <t xml:space="preserve">Inventory Turnover </t>
  </si>
  <si>
    <t>COGS/Inventory</t>
  </si>
  <si>
    <t xml:space="preserve">COGS  </t>
  </si>
  <si>
    <t>Inventory Days</t>
  </si>
  <si>
    <t>365/inventory turnover</t>
  </si>
  <si>
    <t>Trade Payable Turnover</t>
  </si>
  <si>
    <t>COGS/Trade Payables</t>
  </si>
  <si>
    <t>Trade Payable Days</t>
  </si>
  <si>
    <t>365/ Payable turnover</t>
  </si>
  <si>
    <t>indicates faster and more frequent payment to suppliers</t>
  </si>
  <si>
    <t>indicates that the firm takes longer to pay suppliers, conserving cash but potentially affecting supplier relationships</t>
  </si>
  <si>
    <t>To assess the efficiency in the management of Inventory</t>
  </si>
  <si>
    <t>PAT/Total share Outstanding</t>
  </si>
  <si>
    <t>Market Price/ EPS</t>
  </si>
  <si>
    <r>
      <t xml:space="preserve">A </t>
    </r>
    <r>
      <rPr>
        <b/>
        <sz val="11"/>
        <color theme="1"/>
        <rFont val="Calibri"/>
        <family val="2"/>
        <scheme val="minor"/>
      </rPr>
      <t>higher P/E</t>
    </r>
    <r>
      <rPr>
        <sz val="11"/>
        <color theme="1"/>
        <rFont val="Calibri"/>
        <family val="2"/>
        <scheme val="minor"/>
      </rPr>
      <t xml:space="preserve"> reflects higher growth expectations or lower perceived risk</t>
    </r>
  </si>
  <si>
    <t>Dividend paid/Share Outstanding</t>
  </si>
  <si>
    <t>DPS/MPS</t>
  </si>
  <si>
    <r>
      <t xml:space="preserve">A </t>
    </r>
    <r>
      <rPr>
        <b/>
        <sz val="11"/>
        <color theme="1"/>
        <rFont val="Calibri"/>
        <family val="2"/>
        <scheme val="minor"/>
      </rPr>
      <t>higher payout ratio</t>
    </r>
    <r>
      <rPr>
        <sz val="11"/>
        <color theme="1"/>
        <rFont val="Calibri"/>
        <family val="2"/>
        <scheme val="minor"/>
      </rPr>
      <t xml:space="preserve"> indicates that the firm distributes a larger share of earnings to shareholders</t>
    </r>
  </si>
  <si>
    <r>
      <t xml:space="preserve">A </t>
    </r>
    <r>
      <rPr>
        <b/>
        <sz val="11"/>
        <color theme="1"/>
        <rFont val="Calibri"/>
        <family val="2"/>
        <scheme val="minor"/>
      </rPr>
      <t>higher dividend yield</t>
    </r>
    <r>
      <rPr>
        <sz val="11"/>
        <color theme="1"/>
        <rFont val="Calibri"/>
        <family val="2"/>
        <scheme val="minor"/>
      </rPr>
      <t xml:space="preserve"> indicates greater cash return relative to the share price</t>
    </r>
  </si>
  <si>
    <t>CA/CL</t>
  </si>
  <si>
    <t>EBIT/Capital Employed</t>
  </si>
  <si>
    <t>What is the Current Ratio of Titan ltd?</t>
  </si>
  <si>
    <t>The Quick Ratio is closest to:</t>
  </si>
  <si>
    <t xml:space="preserve"> The Cash Ratio is:</t>
  </si>
  <si>
    <t xml:space="preserve"> Inventory to Net Working Capital is:</t>
  </si>
  <si>
    <t>The Debt-to-Equity Ratio is:</t>
  </si>
  <si>
    <t>The Debt-to-Asset Ratio is:</t>
  </si>
  <si>
    <t>ROCE (%) is approximately:</t>
  </si>
  <si>
    <t>Capital Employed &amp; EBIT</t>
  </si>
  <si>
    <t>ROTA (%) is:</t>
  </si>
  <si>
    <t xml:space="preserve"> ROE (%) is:</t>
  </si>
  <si>
    <t>Asset Turnover Ratio is closest to:</t>
  </si>
  <si>
    <t>Fixed Asset Turnover Ratio is:</t>
  </si>
  <si>
    <t>Working Capital Turnover Ratio is:</t>
  </si>
  <si>
    <t>Accounts Receivable Turnover Ratio is:</t>
  </si>
  <si>
    <t>Average Collection Period (days) is approximately:</t>
  </si>
  <si>
    <t xml:space="preserve">EBITDA/Total Operating revenue*100 </t>
  </si>
  <si>
    <t>EBIT/Total Operating revenue*100</t>
  </si>
  <si>
    <t>Net profit/Total Operating revenue*100</t>
  </si>
  <si>
    <t>% Change in/Total Operating revenue*100</t>
  </si>
  <si>
    <t>Interest coverage/Total Operating revenue*100</t>
  </si>
  <si>
    <t>Indicates the EBITDA as percentage of Total Operating revenue</t>
  </si>
  <si>
    <t>Indicates the EBIT as percentage of Total Operating revenue</t>
  </si>
  <si>
    <t>Indicates the Profit After Tax (PAT) as percentage of Total Operating revenue</t>
  </si>
  <si>
    <t>Indicates the ability of the company to meet its interest obligations</t>
  </si>
  <si>
    <t>Profitability Margin</t>
  </si>
  <si>
    <t> Raw Materials (COGS)</t>
  </si>
  <si>
    <t>(CA-Inventory)/CL</t>
  </si>
  <si>
    <t>(Cash + Bank)/CL</t>
  </si>
  <si>
    <t>NCL/ TE</t>
  </si>
  <si>
    <t>(TA-TE)/TA</t>
  </si>
  <si>
    <t>TA/TE</t>
  </si>
  <si>
    <t>COGS/Inventories</t>
  </si>
  <si>
    <t>COGS/ Trade Payable</t>
  </si>
  <si>
    <t>365/Recv turnover</t>
  </si>
  <si>
    <t>365/Payable turnover</t>
  </si>
  <si>
    <t>Inventory days+ Recv Days</t>
  </si>
  <si>
    <t>Inv. Days+ Recv Days - Payable days</t>
  </si>
  <si>
    <t>Op. Profit/Interest Exp.</t>
  </si>
  <si>
    <t>(Op.Profit+ Dep)/Interest Exp</t>
  </si>
  <si>
    <t>Op. Profit/ Sales</t>
  </si>
  <si>
    <t>Net profit/Sales</t>
  </si>
  <si>
    <t>PAT/ TE</t>
  </si>
  <si>
    <t>Operating Profit (EBIT)</t>
  </si>
  <si>
    <t>Sales/TA</t>
  </si>
  <si>
    <t>NPM*AT*EM</t>
  </si>
  <si>
    <t>Accounting Concepts (fundamental assumptions)</t>
  </si>
  <si>
    <r>
      <t>1. Business Entity Concept</t>
    </r>
    <r>
      <rPr>
        <sz val="11"/>
        <color theme="1"/>
        <rFont val="Calibri"/>
        <family val="2"/>
        <scheme val="minor"/>
      </rPr>
      <t xml:space="preserve"> – Business is separate from its owners</t>
    </r>
  </si>
  <si>
    <r>
      <t>2. Going Concern Concept</t>
    </r>
    <r>
      <rPr>
        <sz val="11"/>
        <color theme="1"/>
        <rFont val="Calibri"/>
        <family val="2"/>
        <scheme val="minor"/>
      </rPr>
      <t xml:space="preserve"> – Business will continue in the foreseeable future</t>
    </r>
  </si>
  <si>
    <r>
      <t>3. Money Measurement Concept</t>
    </r>
    <r>
      <rPr>
        <sz val="11"/>
        <color theme="1"/>
        <rFont val="Calibri"/>
        <family val="2"/>
        <scheme val="minor"/>
      </rPr>
      <t xml:space="preserve"> – Only transactions measurable in money are recorded</t>
    </r>
  </si>
  <si>
    <r>
      <t>4. Accounting Period Concept</t>
    </r>
    <r>
      <rPr>
        <sz val="11"/>
        <color theme="1"/>
        <rFont val="Calibri"/>
        <family val="2"/>
        <scheme val="minor"/>
      </rPr>
      <t xml:space="preserve"> – Life of business is divided into time periods</t>
    </r>
  </si>
  <si>
    <r>
      <t>5. Historical Cost Concept</t>
    </r>
    <r>
      <rPr>
        <sz val="11"/>
        <color theme="1"/>
        <rFont val="Calibri"/>
        <family val="2"/>
        <scheme val="minor"/>
      </rPr>
      <t xml:space="preserve"> – Assets are recorded at acquisition cost</t>
    </r>
  </si>
  <si>
    <r>
      <t>6. Accrual Concept</t>
    </r>
    <r>
      <rPr>
        <sz val="11"/>
        <color theme="1"/>
        <rFont val="Calibri"/>
        <family val="2"/>
        <scheme val="minor"/>
      </rPr>
      <t xml:space="preserve"> – Income and expenses are recognized when incurred, not when cash is received/paid</t>
    </r>
  </si>
  <si>
    <r>
      <t>7. Matching Concept</t>
    </r>
    <r>
      <rPr>
        <sz val="11"/>
        <color theme="1"/>
        <rFont val="Calibri"/>
        <family val="2"/>
        <scheme val="minor"/>
      </rPr>
      <t xml:space="preserve"> – Expenses are matched with related revenues</t>
    </r>
  </si>
  <si>
    <r>
      <t>8. Realisation (Revenue Recognition) Concept</t>
    </r>
    <r>
      <rPr>
        <sz val="11"/>
        <color theme="1"/>
        <rFont val="Calibri"/>
        <family val="2"/>
        <scheme val="minor"/>
      </rPr>
      <t xml:space="preserve"> – Revenue is recognized when earned and realized</t>
    </r>
  </si>
  <si>
    <r>
      <t>9. Dual Aspect Concept</t>
    </r>
    <r>
      <rPr>
        <sz val="11"/>
        <color theme="1"/>
        <rFont val="Calibri"/>
        <family val="2"/>
        <scheme val="minor"/>
      </rPr>
      <t xml:space="preserve"> – Every transaction has two effects (debit and credit)</t>
    </r>
  </si>
  <si>
    <t>Accounting Conventions (practical guidelines)</t>
  </si>
  <si>
    <r>
      <t>1. Convention of Consistency</t>
    </r>
    <r>
      <rPr>
        <sz val="11"/>
        <color theme="1"/>
        <rFont val="Calibri"/>
        <family val="2"/>
        <scheme val="minor"/>
      </rPr>
      <t xml:space="preserve"> – Same accounting methods used over time</t>
    </r>
  </si>
  <si>
    <r>
      <t>2. Convention of Conservatism (Prudence)</t>
    </r>
    <r>
      <rPr>
        <sz val="11"/>
        <color theme="1"/>
        <rFont val="Calibri"/>
        <family val="2"/>
        <scheme val="minor"/>
      </rPr>
      <t xml:space="preserve"> – Anticipate losses, not profits</t>
    </r>
  </si>
  <si>
    <r>
      <t>3. Convention of Full Disclosure</t>
    </r>
    <r>
      <rPr>
        <sz val="11"/>
        <color theme="1"/>
        <rFont val="Calibri"/>
        <family val="2"/>
        <scheme val="minor"/>
      </rPr>
      <t xml:space="preserve"> – All material information must be disclosed</t>
    </r>
  </si>
  <si>
    <r>
      <t>4. Convention of Materiality</t>
    </r>
    <r>
      <rPr>
        <sz val="11"/>
        <color theme="1"/>
        <rFont val="Calibri"/>
        <family val="2"/>
        <scheme val="minor"/>
      </rPr>
      <t xml:space="preserve"> – Only material items need detailed disclosure</t>
    </r>
  </si>
  <si>
    <t>Sales/Trade Recv</t>
  </si>
  <si>
    <t>Op stock+ Purchase- Closting</t>
  </si>
  <si>
    <t>Company A</t>
  </si>
  <si>
    <t>Company B</t>
  </si>
  <si>
    <t>Opening Stock</t>
  </si>
  <si>
    <t>Purchase</t>
  </si>
  <si>
    <t>Closing Stock</t>
  </si>
  <si>
    <t>Opening stock +Purchase-Closing stock</t>
  </si>
  <si>
    <t>In Profit and Loss Statement</t>
  </si>
  <si>
    <t>Change in Inventory</t>
  </si>
  <si>
    <t>The firm produced or purchased more than it sold</t>
  </si>
  <si>
    <t>Some cost is carried forward as asset (inventory)</t>
  </si>
  <si>
    <t>Therefore, expense recognized this year is lower</t>
  </si>
  <si>
    <t>Profit increases</t>
  </si>
  <si>
    <t>Situation</t>
  </si>
  <si>
    <t>Impact</t>
  </si>
  <si>
    <t>Higher Closing Inventory</t>
  </si>
  <si>
    <t>Lower COGS</t>
  </si>
  <si>
    <t>Higher Profit</t>
  </si>
  <si>
    <t>Inventory Increase</t>
  </si>
  <si>
    <t>Cash locked in stock</t>
  </si>
  <si>
    <t>Key Learnings (When Closing Inventory is higher)</t>
  </si>
  <si>
    <t xml:space="preserve">AS per P&amp;L </t>
  </si>
  <si>
    <t>Company Name</t>
  </si>
  <si>
    <t>3D Technopack Pvt. Ltd.</t>
  </si>
  <si>
    <t>3M India Ltd.</t>
  </si>
  <si>
    <t>A B B India Ltd.</t>
  </si>
  <si>
    <t>A B I-Showatech (India) Pvt. Ltd.</t>
  </si>
  <si>
    <t>A B Jewels Pvt. Ltd.</t>
  </si>
  <si>
    <t>A C C Ltd.</t>
  </si>
  <si>
    <t>A C G Pharmapack Pvt. Ltd.</t>
  </si>
  <si>
    <t>A D F Foods Ltd.</t>
  </si>
  <si>
    <t>A G I Greenpac Ltd.</t>
  </si>
  <si>
    <t>A I A Engineering Ltd.</t>
  </si>
  <si>
    <t>A I Champdany Inds. Ltd.</t>
  </si>
  <si>
    <t>A I S Glass Solutions Ltd.</t>
  </si>
  <si>
    <t>A M C L Machinery Ltd.</t>
  </si>
  <si>
    <t>A M D Industries Ltd.</t>
  </si>
  <si>
    <t>A P L Apollo Tubes Ltd.</t>
  </si>
  <si>
    <t>A P L Metals Ltd.</t>
  </si>
  <si>
    <t>A P M Industries Ltd.</t>
  </si>
  <si>
    <t>A T S Elgi Ltd.</t>
  </si>
  <si>
    <t>A V T Natural Products Ltd.</t>
  </si>
  <si>
    <t>A V Thomas &amp; Co. Ltd.</t>
  </si>
  <si>
    <t>A Y M Syntex Ltd.</t>
  </si>
  <si>
    <t>Aakaash Manufacturing Co. Pvt. Ltd.</t>
  </si>
  <si>
    <t>Aarti Drugs Ltd.</t>
  </si>
  <si>
    <t>Aarti Industries Ltd.</t>
  </si>
  <si>
    <t>Aarti International Ltd.</t>
  </si>
  <si>
    <t>Aarti Steels Ltd.</t>
  </si>
  <si>
    <t>Aarvee Denims &amp; Exports Ltd.</t>
  </si>
  <si>
    <t>Abbott India Ltd.</t>
  </si>
  <si>
    <t>Accelerated Freeze Drying Co. Ltd.</t>
  </si>
  <si>
    <t>Ace Multi Axes Systems Ltd.</t>
  </si>
  <si>
    <t>Acknit Industries Ltd.</t>
  </si>
  <si>
    <t>Action Construction Equipment Ltd.</t>
  </si>
  <si>
    <t>Adani Bunkering Pvt. Ltd.</t>
  </si>
  <si>
    <t>Adani Wilmar Ltd.</t>
  </si>
  <si>
    <t>Adarsh Plant Protect Ltd.</t>
  </si>
  <si>
    <t>Adhunik Metaliks Ltd.</t>
  </si>
  <si>
    <t>Aditya Forge Ltd.</t>
  </si>
  <si>
    <t>Aditya Ispat Ltd.</t>
  </si>
  <si>
    <t>Aditya Spinners Ltd.</t>
  </si>
  <si>
    <t>Ador Multiproducts Ltd.</t>
  </si>
  <si>
    <t>Ador Powertron Ltd.</t>
  </si>
  <si>
    <t>Ador Welding Ltd.</t>
  </si>
  <si>
    <t>Advanced Enzyme Technologies Ltd.</t>
  </si>
  <si>
    <t>Advik Hi-Tech Pvt. Ltd.</t>
  </si>
  <si>
    <t>Agarwal Industrial Corpn. Ltd.</t>
  </si>
  <si>
    <t>Agrasen Engineering Inds. Pvt. Ltd.</t>
  </si>
  <si>
    <t>Agribiotech Industries Ltd.</t>
  </si>
  <si>
    <t>Agro Tech Foods Ltd.</t>
  </si>
  <si>
    <t>Ahlcon Parenterals (India) Ltd.</t>
  </si>
  <si>
    <t>Air Control &amp; Chemical Engg. Co. Ltd.</t>
  </si>
  <si>
    <t>Ajanta Pharma Ltd.</t>
  </si>
  <si>
    <t>Ajanta Soya Ltd.</t>
  </si>
  <si>
    <t>Akar Auto Inds. Ltd.</t>
  </si>
  <si>
    <t>Aksh Optifibre Ltd.</t>
  </si>
  <si>
    <t>Aksharchem (India) Ltd.</t>
  </si>
  <si>
    <t>Akums Drugs &amp; Pharmaceuticals Ltd.</t>
  </si>
  <si>
    <t>GRWT</t>
  </si>
  <si>
    <t>Size</t>
  </si>
  <si>
    <t>FA/TA</t>
  </si>
  <si>
    <t>LEV</t>
  </si>
  <si>
    <t>PRF (EBIT/TA)</t>
  </si>
  <si>
    <t>CFO/TA</t>
  </si>
  <si>
    <t>Baja Auto</t>
  </si>
  <si>
    <t>Gross Profit Margin</t>
  </si>
  <si>
    <t>EBITDA Margin</t>
  </si>
  <si>
    <t>EBIT Margin</t>
  </si>
  <si>
    <t>Company code</t>
  </si>
  <si>
    <t>CCC</t>
  </si>
  <si>
    <t>FLCS</t>
  </si>
  <si>
    <t>GRWTH</t>
  </si>
  <si>
    <t>ASTANG</t>
  </si>
  <si>
    <t>CA/TA</t>
  </si>
  <si>
    <t>CL/TA</t>
  </si>
  <si>
    <t>CFLW_P/TA</t>
  </si>
  <si>
    <t>CFLW_CFO/TA</t>
  </si>
  <si>
    <t>PROF</t>
  </si>
  <si>
    <t>Age</t>
  </si>
  <si>
    <t>B_Group</t>
  </si>
  <si>
    <t>Company</t>
  </si>
  <si>
    <t>Panel Data</t>
  </si>
  <si>
    <t>Cross Section Data</t>
  </si>
  <si>
    <t>Time Series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</si>
</sst>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_);\(#,##0\)"/>
    <numFmt numFmtId="165" formatCode="0_);\(0\)"/>
    <numFmt numFmtId="166" formatCode="0.0000"/>
    <numFmt numFmtId="167" formatCode="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B2AD"/>
      </top>
      <bottom style="thin">
        <color rgb="FF00B2AD"/>
      </bottom>
      <diagonal/>
    </border>
    <border>
      <left/>
      <right/>
      <top style="thin">
        <color rgb="FF00B2AD"/>
      </top>
      <bottom/>
      <diagonal/>
    </border>
    <border>
      <left/>
      <right/>
      <top style="thin">
        <color rgb="FF00B2AD"/>
      </top>
      <bottom style="thin">
        <color rgb="FF4D4D4F"/>
      </bottom>
      <diagonal/>
    </border>
    <border>
      <left/>
      <right/>
      <top/>
      <bottom style="thin">
        <color rgb="FF4D4D4F"/>
      </bottom>
      <diagonal/>
    </border>
    <border>
      <left/>
      <right/>
      <top style="thin">
        <color rgb="FF4D4D4F"/>
      </top>
      <bottom style="thin">
        <color rgb="FF4D4D4F"/>
      </bottom>
      <diagonal/>
    </border>
    <border>
      <left/>
      <right/>
      <top style="thin">
        <color rgb="FF4D4D4F"/>
      </top>
      <bottom style="thin">
        <color rgb="FF00B2A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5" fillId="0" borderId="3" xfId="0" applyFont="1" applyBorder="1" applyAlignment="1">
      <alignment vertical="top"/>
    </xf>
    <xf numFmtId="0" fontId="3" fillId="0" borderId="4" xfId="0" applyFont="1" applyBorder="1"/>
    <xf numFmtId="0" fontId="3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3" fillId="0" borderId="5" xfId="0" applyFont="1" applyBorder="1"/>
    <xf numFmtId="0" fontId="3" fillId="0" borderId="5" xfId="0" applyFont="1" applyBorder="1" applyAlignment="1">
      <alignment vertical="top"/>
    </xf>
    <xf numFmtId="3" fontId="3" fillId="0" borderId="5" xfId="0" applyNumberFormat="1" applyFont="1" applyBorder="1" applyAlignment="1">
      <alignment vertical="top" shrinkToFit="1"/>
    </xf>
    <xf numFmtId="1" fontId="3" fillId="0" borderId="5" xfId="0" applyNumberFormat="1" applyFont="1" applyBorder="1" applyAlignment="1">
      <alignment vertical="top" shrinkToFit="1"/>
    </xf>
    <xf numFmtId="1" fontId="3" fillId="0" borderId="6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0" fontId="3" fillId="0" borderId="3" xfId="0" applyFont="1" applyBorder="1"/>
    <xf numFmtId="3" fontId="3" fillId="0" borderId="6" xfId="0" applyNumberFormat="1" applyFont="1" applyBorder="1" applyAlignment="1">
      <alignment vertical="top" shrinkToFit="1"/>
    </xf>
    <xf numFmtId="0" fontId="3" fillId="0" borderId="6" xfId="0" applyFont="1" applyBorder="1" applyAlignment="1">
      <alignment vertical="top"/>
    </xf>
    <xf numFmtId="0" fontId="3" fillId="0" borderId="1" xfId="0" applyFont="1" applyBorder="1"/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1" fontId="3" fillId="0" borderId="0" xfId="0" applyNumberFormat="1" applyFont="1" applyAlignment="1">
      <alignment vertical="top" shrinkToFit="1"/>
    </xf>
    <xf numFmtId="3" fontId="3" fillId="0" borderId="0" xfId="0" applyNumberFormat="1" applyFont="1" applyAlignment="1">
      <alignment vertical="top" shrinkToFit="1"/>
    </xf>
    <xf numFmtId="3" fontId="5" fillId="0" borderId="0" xfId="0" applyNumberFormat="1" applyFont="1" applyAlignment="1">
      <alignment vertical="top" shrinkToFit="1"/>
    </xf>
    <xf numFmtId="0" fontId="3" fillId="0" borderId="0" xfId="0" applyFont="1"/>
    <xf numFmtId="164" fontId="3" fillId="0" borderId="0" xfId="0" applyNumberFormat="1" applyFont="1" applyAlignment="1">
      <alignment vertical="top" shrinkToFit="1"/>
    </xf>
    <xf numFmtId="165" fontId="3" fillId="0" borderId="0" xfId="0" applyNumberFormat="1" applyFont="1" applyAlignment="1">
      <alignment vertical="top" shrinkToFit="1"/>
    </xf>
    <xf numFmtId="165" fontId="5" fillId="0" borderId="0" xfId="0" applyNumberFormat="1" applyFont="1" applyAlignment="1">
      <alignment vertical="top" shrinkToFit="1"/>
    </xf>
    <xf numFmtId="2" fontId="3" fillId="0" borderId="0" xfId="0" applyNumberFormat="1" applyFont="1" applyAlignment="1">
      <alignment vertical="top" shrinkToFit="1"/>
    </xf>
    <xf numFmtId="0" fontId="3" fillId="0" borderId="7" xfId="0" applyFont="1" applyBorder="1"/>
    <xf numFmtId="17" fontId="5" fillId="0" borderId="7" xfId="0" applyNumberFormat="1" applyFont="1" applyBorder="1" applyAlignment="1">
      <alignment horizontal="right" vertical="top"/>
    </xf>
    <xf numFmtId="0" fontId="5" fillId="0" borderId="7" xfId="0" applyFont="1" applyBorder="1"/>
    <xf numFmtId="4" fontId="5" fillId="0" borderId="7" xfId="0" applyNumberFormat="1" applyFont="1" applyBorder="1"/>
    <xf numFmtId="4" fontId="3" fillId="0" borderId="7" xfId="0" applyNumberFormat="1" applyFont="1" applyBorder="1"/>
    <xf numFmtId="3" fontId="0" fillId="0" borderId="0" xfId="0" applyNumberFormat="1"/>
    <xf numFmtId="3" fontId="3" fillId="0" borderId="7" xfId="0" applyNumberFormat="1" applyFont="1" applyBorder="1"/>
    <xf numFmtId="17" fontId="5" fillId="2" borderId="7" xfId="0" applyNumberFormat="1" applyFont="1" applyFill="1" applyBorder="1" applyAlignment="1">
      <alignment horizontal="left" vertical="top"/>
    </xf>
    <xf numFmtId="0" fontId="5" fillId="0" borderId="7" xfId="0" applyFont="1" applyBorder="1" applyAlignment="1">
      <alignment vertical="top"/>
    </xf>
    <xf numFmtId="0" fontId="5" fillId="3" borderId="7" xfId="0" applyFont="1" applyFill="1" applyBorder="1" applyAlignment="1">
      <alignment vertical="top"/>
    </xf>
    <xf numFmtId="0" fontId="2" fillId="0" borderId="0" xfId="0" applyFont="1"/>
    <xf numFmtId="3" fontId="7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3" fontId="3" fillId="0" borderId="0" xfId="0" applyNumberFormat="1" applyFont="1"/>
    <xf numFmtId="0" fontId="0" fillId="0" borderId="7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wrapText="1"/>
    </xf>
    <xf numFmtId="0" fontId="10" fillId="0" borderId="9" xfId="0" applyFont="1" applyBorder="1" applyAlignment="1">
      <alignment wrapText="1"/>
    </xf>
    <xf numFmtId="4" fontId="9" fillId="0" borderId="9" xfId="0" applyNumberFormat="1" applyFont="1" applyBorder="1" applyAlignment="1">
      <alignment wrapText="1"/>
    </xf>
    <xf numFmtId="0" fontId="8" fillId="5" borderId="9" xfId="0" applyFont="1" applyFill="1" applyBorder="1" applyAlignment="1">
      <alignment wrapText="1"/>
    </xf>
    <xf numFmtId="4" fontId="9" fillId="5" borderId="9" xfId="0" applyNumberFormat="1" applyFont="1" applyFill="1" applyBorder="1" applyAlignment="1">
      <alignment wrapText="1"/>
    </xf>
    <xf numFmtId="0" fontId="11" fillId="6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12" fillId="7" borderId="0" xfId="0" applyFont="1" applyFill="1"/>
    <xf numFmtId="0" fontId="12" fillId="7" borderId="0" xfId="0" applyFont="1" applyFill="1" applyAlignment="1">
      <alignment horizontal="center"/>
    </xf>
    <xf numFmtId="0" fontId="13" fillId="8" borderId="0" xfId="0" applyFont="1" applyFill="1"/>
    <xf numFmtId="0" fontId="10" fillId="8" borderId="0" xfId="0" applyFont="1" applyFill="1"/>
    <xf numFmtId="0" fontId="14" fillId="0" borderId="0" xfId="0" applyFont="1"/>
    <xf numFmtId="0" fontId="10" fillId="7" borderId="10" xfId="0" applyFont="1" applyFill="1" applyBorder="1"/>
    <xf numFmtId="0" fontId="12" fillId="7" borderId="11" xfId="0" applyFont="1" applyFill="1" applyBorder="1" applyAlignment="1">
      <alignment horizontal="center"/>
    </xf>
    <xf numFmtId="0" fontId="12" fillId="7" borderId="13" xfId="0" applyFont="1" applyFill="1" applyBorder="1"/>
    <xf numFmtId="167" fontId="10" fillId="9" borderId="9" xfId="0" applyNumberFormat="1" applyFont="1" applyFill="1" applyBorder="1"/>
    <xf numFmtId="0" fontId="13" fillId="10" borderId="8" xfId="0" applyFont="1" applyFill="1" applyBorder="1"/>
    <xf numFmtId="4" fontId="0" fillId="0" borderId="0" xfId="0" applyNumberFormat="1"/>
    <xf numFmtId="167" fontId="5" fillId="0" borderId="7" xfId="0" applyNumberFormat="1" applyFont="1" applyBorder="1"/>
    <xf numFmtId="3" fontId="2" fillId="0" borderId="0" xfId="0" applyNumberFormat="1" applyFont="1"/>
    <xf numFmtId="0" fontId="5" fillId="0" borderId="0" xfId="0" applyFont="1"/>
    <xf numFmtId="0" fontId="16" fillId="0" borderId="9" xfId="0" applyFont="1" applyBorder="1" applyAlignment="1">
      <alignment wrapText="1"/>
    </xf>
    <xf numFmtId="167" fontId="15" fillId="10" borderId="8" xfId="0" applyNumberFormat="1" applyFont="1" applyFill="1" applyBorder="1"/>
    <xf numFmtId="0" fontId="19" fillId="7" borderId="13" xfId="0" applyFont="1" applyFill="1" applyBorder="1"/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2" fillId="7" borderId="0" xfId="0" applyFont="1" applyFill="1" applyAlignment="1">
      <alignment horizontal="center"/>
    </xf>
    <xf numFmtId="0" fontId="18" fillId="8" borderId="0" xfId="0" applyFont="1" applyFill="1"/>
    <xf numFmtId="0" fontId="24" fillId="0" borderId="7" xfId="0" applyFont="1" applyBorder="1"/>
    <xf numFmtId="0" fontId="24" fillId="11" borderId="7" xfId="0" applyFont="1" applyFill="1" applyBorder="1"/>
    <xf numFmtId="17" fontId="23" fillId="2" borderId="7" xfId="0" applyNumberFormat="1" applyFont="1" applyFill="1" applyBorder="1" applyAlignment="1">
      <alignment horizontal="left" vertical="top"/>
    </xf>
    <xf numFmtId="2" fontId="24" fillId="0" borderId="7" xfId="0" applyNumberFormat="1" applyFont="1" applyBorder="1"/>
    <xf numFmtId="2" fontId="23" fillId="0" borderId="7" xfId="0" applyNumberFormat="1" applyFont="1" applyBorder="1"/>
    <xf numFmtId="4" fontId="23" fillId="0" borderId="7" xfId="0" applyNumberFormat="1" applyFont="1" applyBorder="1"/>
    <xf numFmtId="0" fontId="24" fillId="3" borderId="7" xfId="0" applyFont="1" applyFill="1" applyBorder="1"/>
    <xf numFmtId="166" fontId="24" fillId="0" borderId="7" xfId="0" applyNumberFormat="1" applyFont="1" applyBorder="1"/>
    <xf numFmtId="4" fontId="24" fillId="0" borderId="7" xfId="0" applyNumberFormat="1" applyFont="1" applyBorder="1"/>
    <xf numFmtId="3" fontId="23" fillId="0" borderId="7" xfId="0" applyNumberFormat="1" applyFont="1" applyBorder="1" applyAlignment="1">
      <alignment vertical="top" shrinkToFit="1"/>
    </xf>
    <xf numFmtId="3" fontId="24" fillId="0" borderId="7" xfId="0" applyNumberFormat="1" applyFont="1" applyBorder="1" applyAlignment="1">
      <alignment vertical="top" shrinkToFit="1"/>
    </xf>
    <xf numFmtId="1" fontId="24" fillId="0" borderId="7" xfId="0" applyNumberFormat="1" applyFont="1" applyBorder="1" applyAlignment="1">
      <alignment vertical="top" shrinkToFit="1"/>
    </xf>
    <xf numFmtId="0" fontId="25" fillId="0" borderId="7" xfId="0" applyFont="1" applyBorder="1"/>
    <xf numFmtId="0" fontId="17" fillId="0" borderId="7" xfId="0" applyFont="1" applyBorder="1"/>
    <xf numFmtId="2" fontId="24" fillId="11" borderId="7" xfId="0" applyNumberFormat="1" applyFont="1" applyFill="1" applyBorder="1"/>
    <xf numFmtId="0" fontId="3" fillId="11" borderId="7" xfId="0" applyFont="1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2" borderId="0" xfId="0" applyFill="1"/>
    <xf numFmtId="0" fontId="2" fillId="12" borderId="0" xfId="0" applyFont="1" applyFill="1"/>
    <xf numFmtId="0" fontId="0" fillId="14" borderId="0" xfId="0" applyFill="1"/>
    <xf numFmtId="0" fontId="0" fillId="15" borderId="0" xfId="0" applyFill="1"/>
    <xf numFmtId="0" fontId="2" fillId="15" borderId="0" xfId="0" applyFont="1" applyFill="1"/>
    <xf numFmtId="0" fontId="2" fillId="14" borderId="0" xfId="0" applyFont="1" applyFill="1"/>
    <xf numFmtId="0" fontId="26" fillId="13" borderId="0" xfId="0" applyFont="1" applyFill="1"/>
    <xf numFmtId="0" fontId="26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27" fillId="9" borderId="0" xfId="0" applyFont="1" applyFill="1" applyAlignment="1">
      <alignment horizontal="center"/>
    </xf>
    <xf numFmtId="2" fontId="27" fillId="9" borderId="0" xfId="0" applyNumberFormat="1" applyFont="1" applyFill="1" applyAlignment="1">
      <alignment horizontal="center"/>
    </xf>
    <xf numFmtId="0" fontId="28" fillId="0" borderId="0" xfId="0" applyFont="1"/>
    <xf numFmtId="0" fontId="29" fillId="7" borderId="0" xfId="0" applyFont="1" applyFill="1" applyAlignment="1">
      <alignment horizontal="center"/>
    </xf>
    <xf numFmtId="167" fontId="27" fillId="9" borderId="0" xfId="0" applyNumberFormat="1" applyFont="1" applyFill="1" applyAlignment="1">
      <alignment horizontal="center"/>
    </xf>
    <xf numFmtId="166" fontId="27" fillId="9" borderId="0" xfId="0" applyNumberFormat="1" applyFont="1" applyFill="1" applyAlignment="1">
      <alignment horizontal="center"/>
    </xf>
    <xf numFmtId="0" fontId="29" fillId="7" borderId="11" xfId="0" applyFont="1" applyFill="1" applyBorder="1" applyAlignment="1">
      <alignment horizontal="center"/>
    </xf>
    <xf numFmtId="0" fontId="29" fillId="7" borderId="12" xfId="0" applyFont="1" applyFill="1" applyBorder="1" applyAlignment="1">
      <alignment horizontal="center"/>
    </xf>
    <xf numFmtId="167" fontId="27" fillId="9" borderId="9" xfId="0" applyNumberFormat="1" applyFont="1" applyFill="1" applyBorder="1"/>
    <xf numFmtId="167" fontId="27" fillId="9" borderId="14" xfId="0" applyNumberFormat="1" applyFont="1" applyFill="1" applyBorder="1"/>
    <xf numFmtId="167" fontId="29" fillId="10" borderId="8" xfId="0" applyNumberFormat="1" applyFont="1" applyFill="1" applyBorder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99EA20A1-DAA5-4C34-943B-BF4A23D85B0A}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DuPont Analysis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351F7-1219-4FFC-A4FA-50FBCB6E262D}" name="Table_2" displayName="Table_2" ref="F47:I51">
  <tableColumns count="4">
    <tableColumn id="1" xr3:uid="{9B171B33-C643-4920-A10F-8E603A51993B}" name=" "/>
    <tableColumn id="2" xr3:uid="{189B441E-8CF3-4D43-83B6-C325F34EF816}" name="Column1"/>
    <tableColumn id="3" xr3:uid="{EE6CE154-90D0-4239-83D7-A4C46D872D45}" name="2024" dataDxfId="1"/>
    <tableColumn id="4" xr3:uid="{73C25CDD-49A3-45AE-9C7C-9D9442DEF4AB}" name="2025" dataDxfId="0"/>
  </tableColumns>
  <tableStyleInfo name="DuPont Analysi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1F11-A713-4486-90E9-76A8AD11CE90}">
  <dimension ref="B2:B32"/>
  <sheetViews>
    <sheetView workbookViewId="0">
      <selection activeCell="D30" sqref="D30"/>
    </sheetView>
  </sheetViews>
  <sheetFormatPr defaultRowHeight="15" x14ac:dyDescent="0.25"/>
  <cols>
    <col min="2" max="2" width="97.5703125" bestFit="1" customWidth="1"/>
  </cols>
  <sheetData>
    <row r="2" spans="2:2" ht="23.25" x14ac:dyDescent="0.25">
      <c r="B2" s="74" t="s">
        <v>379</v>
      </c>
    </row>
    <row r="3" spans="2:2" x14ac:dyDescent="0.25">
      <c r="B3" s="75"/>
    </row>
    <row r="4" spans="2:2" x14ac:dyDescent="0.25">
      <c r="B4" s="76" t="s">
        <v>380</v>
      </c>
    </row>
    <row r="5" spans="2:2" x14ac:dyDescent="0.25">
      <c r="B5" s="75"/>
    </row>
    <row r="6" spans="2:2" x14ac:dyDescent="0.25">
      <c r="B6" s="76" t="s">
        <v>381</v>
      </c>
    </row>
    <row r="7" spans="2:2" x14ac:dyDescent="0.25">
      <c r="B7" s="75"/>
    </row>
    <row r="8" spans="2:2" x14ac:dyDescent="0.25">
      <c r="B8" s="76" t="s">
        <v>382</v>
      </c>
    </row>
    <row r="9" spans="2:2" x14ac:dyDescent="0.25">
      <c r="B9" s="75"/>
    </row>
    <row r="10" spans="2:2" x14ac:dyDescent="0.25">
      <c r="B10" s="76" t="s">
        <v>383</v>
      </c>
    </row>
    <row r="11" spans="2:2" x14ac:dyDescent="0.25">
      <c r="B11" s="75"/>
    </row>
    <row r="12" spans="2:2" x14ac:dyDescent="0.25">
      <c r="B12" s="76" t="s">
        <v>384</v>
      </c>
    </row>
    <row r="13" spans="2:2" x14ac:dyDescent="0.25">
      <c r="B13" s="75"/>
    </row>
    <row r="14" spans="2:2" x14ac:dyDescent="0.25">
      <c r="B14" s="76" t="s">
        <v>385</v>
      </c>
    </row>
    <row r="15" spans="2:2" x14ac:dyDescent="0.25">
      <c r="B15" s="75"/>
    </row>
    <row r="16" spans="2:2" x14ac:dyDescent="0.25">
      <c r="B16" s="76" t="s">
        <v>386</v>
      </c>
    </row>
    <row r="17" spans="2:2" x14ac:dyDescent="0.25">
      <c r="B17" s="75"/>
    </row>
    <row r="18" spans="2:2" x14ac:dyDescent="0.25">
      <c r="B18" s="76" t="s">
        <v>387</v>
      </c>
    </row>
    <row r="19" spans="2:2" x14ac:dyDescent="0.25">
      <c r="B19" s="75"/>
    </row>
    <row r="20" spans="2:2" x14ac:dyDescent="0.25">
      <c r="B20" s="76" t="s">
        <v>388</v>
      </c>
    </row>
    <row r="24" spans="2:2" ht="23.25" x14ac:dyDescent="0.25">
      <c r="B24" s="74" t="s">
        <v>389</v>
      </c>
    </row>
    <row r="25" spans="2:2" x14ac:dyDescent="0.25">
      <c r="B25" s="75"/>
    </row>
    <row r="26" spans="2:2" x14ac:dyDescent="0.25">
      <c r="B26" s="76" t="s">
        <v>390</v>
      </c>
    </row>
    <row r="27" spans="2:2" x14ac:dyDescent="0.25">
      <c r="B27" s="75"/>
    </row>
    <row r="28" spans="2:2" x14ac:dyDescent="0.25">
      <c r="B28" s="76" t="s">
        <v>391</v>
      </c>
    </row>
    <row r="29" spans="2:2" x14ac:dyDescent="0.25">
      <c r="B29" s="75"/>
    </row>
    <row r="30" spans="2:2" x14ac:dyDescent="0.25">
      <c r="B30" s="76" t="s">
        <v>392</v>
      </c>
    </row>
    <row r="31" spans="2:2" x14ac:dyDescent="0.25">
      <c r="B31" s="75"/>
    </row>
    <row r="32" spans="2:2" x14ac:dyDescent="0.25">
      <c r="B32" s="76" t="s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4FFC-A64F-43C5-825A-B2350575AF2E}">
  <dimension ref="B3:P61"/>
  <sheetViews>
    <sheetView tabSelected="1" workbookViewId="0">
      <selection activeCell="F12" sqref="F12"/>
    </sheetView>
  </sheetViews>
  <sheetFormatPr defaultRowHeight="15" x14ac:dyDescent="0.25"/>
  <cols>
    <col min="2" max="2" width="38.42578125" customWidth="1"/>
    <col min="3" max="3" width="15.85546875" customWidth="1"/>
    <col min="4" max="4" width="17.85546875" customWidth="1"/>
    <col min="7" max="7" width="9.140625" style="45"/>
    <col min="8" max="8" width="67.42578125" bestFit="1" customWidth="1"/>
    <col min="9" max="9" width="33.140625" bestFit="1" customWidth="1"/>
    <col min="10" max="10" width="19.28515625" customWidth="1"/>
    <col min="11" max="11" width="13.28515625" customWidth="1"/>
    <col min="12" max="12" width="17.42578125" customWidth="1"/>
    <col min="13" max="13" width="14.28515625" customWidth="1"/>
    <col min="15" max="15" width="11.7109375" bestFit="1" customWidth="1"/>
  </cols>
  <sheetData>
    <row r="3" spans="2:15" ht="18.75" x14ac:dyDescent="0.25">
      <c r="B3" s="1" t="s">
        <v>2</v>
      </c>
      <c r="C3" s="1"/>
      <c r="D3" s="1"/>
    </row>
    <row r="4" spans="2:15" ht="15.75" x14ac:dyDescent="0.25">
      <c r="B4" s="17" t="s">
        <v>3</v>
      </c>
      <c r="C4" s="18">
        <v>2025</v>
      </c>
      <c r="D4" s="19" t="s">
        <v>1</v>
      </c>
      <c r="H4" s="31"/>
      <c r="I4" s="31" t="s">
        <v>281</v>
      </c>
      <c r="J4" s="36">
        <v>45717</v>
      </c>
      <c r="K4" s="36">
        <v>45352</v>
      </c>
      <c r="L4" s="81">
        <v>45717</v>
      </c>
      <c r="M4" s="81">
        <v>45352</v>
      </c>
      <c r="N4" s="79"/>
    </row>
    <row r="5" spans="2:15" ht="15.75" x14ac:dyDescent="0.25">
      <c r="B5" s="3" t="s">
        <v>4</v>
      </c>
      <c r="C5" s="4"/>
      <c r="D5" s="5"/>
      <c r="H5" s="37" t="s">
        <v>334</v>
      </c>
      <c r="I5" s="37" t="s">
        <v>332</v>
      </c>
      <c r="J5" s="37"/>
      <c r="K5" s="37"/>
      <c r="L5" s="93">
        <f>C31/C57</f>
        <v>1.4065142065142064</v>
      </c>
      <c r="M5" s="93">
        <f>D31/D57</f>
        <v>1.6983236042508607</v>
      </c>
      <c r="N5" s="79"/>
      <c r="O5" s="24" t="s">
        <v>282</v>
      </c>
    </row>
    <row r="6" spans="2:15" ht="15.75" x14ac:dyDescent="0.25">
      <c r="B6" s="6" t="s">
        <v>5</v>
      </c>
      <c r="C6" s="7"/>
      <c r="D6" s="7"/>
      <c r="H6" s="37" t="s">
        <v>69</v>
      </c>
      <c r="I6" s="37" t="s">
        <v>280</v>
      </c>
      <c r="J6" s="37"/>
      <c r="K6" s="37"/>
      <c r="L6" s="82">
        <f>C31-C22</f>
        <v>5927</v>
      </c>
      <c r="M6" s="82">
        <f>D31-D22</f>
        <v>5819</v>
      </c>
      <c r="N6" s="79"/>
    </row>
    <row r="7" spans="2:15" ht="15.75" x14ac:dyDescent="0.25">
      <c r="B7" s="8" t="s">
        <v>0</v>
      </c>
      <c r="C7" s="9">
        <v>1474</v>
      </c>
      <c r="D7" s="9">
        <v>1380</v>
      </c>
      <c r="H7" s="37" t="s">
        <v>335</v>
      </c>
      <c r="I7" s="37" t="s">
        <v>285</v>
      </c>
      <c r="J7" s="37"/>
      <c r="K7" s="37"/>
      <c r="L7" s="82">
        <f>L6/C57</f>
        <v>0.27382767382767381</v>
      </c>
      <c r="M7" s="82">
        <f>M6/D57</f>
        <v>0.43548869929651252</v>
      </c>
      <c r="N7" s="79"/>
      <c r="O7" s="24" t="s">
        <v>283</v>
      </c>
    </row>
    <row r="8" spans="2:15" ht="15.75" x14ac:dyDescent="0.25">
      <c r="B8" s="8" t="s">
        <v>113</v>
      </c>
      <c r="C8" s="10">
        <v>86</v>
      </c>
      <c r="D8" s="10">
        <v>81</v>
      </c>
      <c r="H8" s="37"/>
      <c r="I8" s="37"/>
      <c r="J8" s="37"/>
      <c r="K8" s="37"/>
      <c r="L8" s="82"/>
      <c r="M8" s="82"/>
      <c r="N8" s="79"/>
    </row>
    <row r="9" spans="2:15" ht="15.75" x14ac:dyDescent="0.25">
      <c r="B9" s="8" t="s">
        <v>6</v>
      </c>
      <c r="C9" s="9">
        <v>1449</v>
      </c>
      <c r="D9" s="9">
        <v>1225</v>
      </c>
      <c r="H9" s="37" t="s">
        <v>336</v>
      </c>
      <c r="I9" s="37" t="s">
        <v>284</v>
      </c>
      <c r="J9" s="37"/>
      <c r="K9" s="37"/>
      <c r="L9" s="82">
        <f>(C26+C27)/C57</f>
        <v>5.22984522984523E-2</v>
      </c>
      <c r="M9" s="82">
        <f>(D26+D27)/D57</f>
        <v>6.0245472234695403E-2</v>
      </c>
      <c r="N9" s="79"/>
      <c r="O9" s="24" t="s">
        <v>291</v>
      </c>
    </row>
    <row r="10" spans="2:15" ht="15.75" x14ac:dyDescent="0.25">
      <c r="B10" s="8" t="s">
        <v>7</v>
      </c>
      <c r="C10" s="10">
        <v>1</v>
      </c>
      <c r="D10" s="10">
        <v>1</v>
      </c>
      <c r="H10" s="37" t="s">
        <v>70</v>
      </c>
      <c r="I10" s="37" t="s">
        <v>286</v>
      </c>
      <c r="J10" s="37"/>
      <c r="K10" s="37"/>
      <c r="L10" s="82">
        <f>C31-C57</f>
        <v>8799</v>
      </c>
      <c r="M10" s="82">
        <f>D31-D57</f>
        <v>9331</v>
      </c>
      <c r="N10" s="79"/>
    </row>
    <row r="11" spans="2:15" ht="15.75" x14ac:dyDescent="0.25">
      <c r="B11" s="8" t="s">
        <v>111</v>
      </c>
      <c r="C11" s="10">
        <v>95</v>
      </c>
      <c r="D11" s="10">
        <v>85</v>
      </c>
      <c r="H11" s="37" t="s">
        <v>337</v>
      </c>
      <c r="I11" s="37" t="s">
        <v>287</v>
      </c>
      <c r="J11" s="37"/>
      <c r="K11" s="37"/>
      <c r="L11" s="82">
        <f>C22/L10</f>
        <v>2.7863393567450845</v>
      </c>
      <c r="M11" s="82">
        <f>D22/M10</f>
        <v>1.8083806665952202</v>
      </c>
      <c r="N11" s="79"/>
      <c r="O11" s="24" t="s">
        <v>292</v>
      </c>
    </row>
    <row r="12" spans="2:15" ht="15.75" x14ac:dyDescent="0.25">
      <c r="B12" s="8" t="s">
        <v>8</v>
      </c>
      <c r="C12" s="10">
        <v>8</v>
      </c>
      <c r="D12" s="10">
        <v>6</v>
      </c>
      <c r="H12" s="37"/>
      <c r="I12" s="37"/>
      <c r="J12" s="37"/>
      <c r="K12" s="37"/>
      <c r="L12" s="82"/>
      <c r="M12" s="82"/>
      <c r="N12" s="79"/>
    </row>
    <row r="13" spans="2:15" ht="15.75" x14ac:dyDescent="0.25">
      <c r="B13" s="8" t="s">
        <v>9</v>
      </c>
      <c r="C13" s="7"/>
      <c r="D13" s="7"/>
      <c r="H13" s="37" t="s">
        <v>338</v>
      </c>
      <c r="I13" s="37" t="s">
        <v>288</v>
      </c>
      <c r="J13" s="37"/>
      <c r="K13" s="37"/>
      <c r="L13" s="83">
        <f>C44/C37</f>
        <v>0.15579085122836239</v>
      </c>
      <c r="M13" s="83">
        <f>D44/D37</f>
        <v>0.34882755758456113</v>
      </c>
      <c r="N13" s="79"/>
      <c r="O13" s="24" t="s">
        <v>289</v>
      </c>
    </row>
    <row r="14" spans="2:15" ht="15.75" x14ac:dyDescent="0.25">
      <c r="B14" s="20" t="s">
        <v>10</v>
      </c>
      <c r="C14" s="9">
        <v>6386</v>
      </c>
      <c r="D14" s="9">
        <v>6178</v>
      </c>
      <c r="H14" s="37" t="s">
        <v>71</v>
      </c>
      <c r="I14" s="37" t="s">
        <v>293</v>
      </c>
      <c r="J14" s="37"/>
      <c r="K14" s="37"/>
      <c r="L14" s="84">
        <f>C57+C44</f>
        <v>24264</v>
      </c>
      <c r="M14" s="84">
        <f>D57+D44</f>
        <v>18405</v>
      </c>
      <c r="N14" s="79"/>
    </row>
    <row r="15" spans="2:15" ht="15.75" x14ac:dyDescent="0.25">
      <c r="B15" s="20" t="s">
        <v>116</v>
      </c>
      <c r="C15" s="10">
        <v>59</v>
      </c>
      <c r="D15" s="10">
        <v>53</v>
      </c>
      <c r="H15" s="37" t="s">
        <v>339</v>
      </c>
      <c r="I15" s="37" t="s">
        <v>294</v>
      </c>
      <c r="J15" s="37"/>
      <c r="K15" s="37"/>
      <c r="L15" s="82">
        <f>L14/C32</f>
        <v>0.59072428484479611</v>
      </c>
      <c r="M15" s="82">
        <f>M14/D32</f>
        <v>0.56006938104801895</v>
      </c>
      <c r="N15" s="79"/>
      <c r="O15" s="24" t="s">
        <v>290</v>
      </c>
    </row>
    <row r="16" spans="2:15" ht="15.75" x14ac:dyDescent="0.25">
      <c r="B16" s="20" t="s">
        <v>112</v>
      </c>
      <c r="C16" s="10">
        <v>739</v>
      </c>
      <c r="D16" s="10">
        <v>680</v>
      </c>
      <c r="H16" s="38"/>
      <c r="I16" s="38"/>
      <c r="J16" s="38"/>
      <c r="K16" s="38"/>
      <c r="L16" s="85"/>
      <c r="M16" s="85"/>
      <c r="N16" s="79"/>
    </row>
    <row r="17" spans="2:16" ht="15.75" x14ac:dyDescent="0.25">
      <c r="B17" s="20" t="s">
        <v>11</v>
      </c>
      <c r="C17" s="10">
        <v>125</v>
      </c>
      <c r="D17" s="10">
        <v>153</v>
      </c>
      <c r="H17" s="37" t="s">
        <v>340</v>
      </c>
      <c r="I17" s="37" t="s">
        <v>333</v>
      </c>
      <c r="J17" s="37"/>
      <c r="K17" s="37"/>
      <c r="L17" s="86">
        <f>M18/L18*100</f>
        <v>27.009778692743179</v>
      </c>
      <c r="M17" s="79"/>
      <c r="N17" s="79"/>
      <c r="O17" s="24" t="s">
        <v>296</v>
      </c>
    </row>
    <row r="18" spans="2:16" ht="15.75" x14ac:dyDescent="0.25">
      <c r="B18" s="20" t="s">
        <v>12</v>
      </c>
      <c r="C18" s="10">
        <v>85</v>
      </c>
      <c r="D18" s="10">
        <v>199</v>
      </c>
      <c r="H18" s="37" t="s">
        <v>341</v>
      </c>
      <c r="I18" s="37" t="s">
        <v>295</v>
      </c>
      <c r="J18" s="37"/>
      <c r="K18" s="37"/>
      <c r="L18" s="87">
        <f>C37+C44</f>
        <v>19430</v>
      </c>
      <c r="M18" s="79">
        <v>5248</v>
      </c>
      <c r="N18" s="79" t="s">
        <v>67</v>
      </c>
    </row>
    <row r="19" spans="2:16" ht="15.75" x14ac:dyDescent="0.25">
      <c r="B19" s="20" t="s">
        <v>13</v>
      </c>
      <c r="C19" s="11">
        <v>124</v>
      </c>
      <c r="D19" s="11">
        <v>128</v>
      </c>
      <c r="H19" s="37" t="s">
        <v>342</v>
      </c>
      <c r="I19" s="37" t="s">
        <v>298</v>
      </c>
      <c r="J19" s="37"/>
      <c r="K19" s="37"/>
      <c r="L19" s="79">
        <f>L20/C32*100</f>
        <v>8.1192939744370065</v>
      </c>
      <c r="M19" s="79">
        <f>M20/D32*100</f>
        <v>10.784492727162071</v>
      </c>
      <c r="N19" s="79"/>
      <c r="O19" s="24" t="s">
        <v>297</v>
      </c>
    </row>
    <row r="20" spans="2:16" ht="15.75" x14ac:dyDescent="0.25">
      <c r="B20" s="7"/>
      <c r="C20" s="12">
        <v>10631</v>
      </c>
      <c r="D20" s="12">
        <v>10169</v>
      </c>
      <c r="H20" s="37" t="s">
        <v>72</v>
      </c>
      <c r="I20" s="37"/>
      <c r="J20" s="37"/>
      <c r="K20" s="37"/>
      <c r="L20" s="88">
        <v>3335</v>
      </c>
      <c r="M20" s="88">
        <v>3544</v>
      </c>
      <c r="N20" s="79"/>
    </row>
    <row r="21" spans="2:16" ht="15.75" x14ac:dyDescent="0.25">
      <c r="B21" s="6" t="s">
        <v>14</v>
      </c>
      <c r="C21" s="13"/>
      <c r="D21" s="13"/>
      <c r="H21" s="37" t="s">
        <v>343</v>
      </c>
      <c r="I21" s="37" t="s">
        <v>299</v>
      </c>
      <c r="J21" s="37"/>
      <c r="K21" s="37"/>
      <c r="L21" s="79">
        <f>L20/C37</f>
        <v>0.19838201177800249</v>
      </c>
      <c r="M21" s="79">
        <f>M20/D37*100</f>
        <v>24.514076226049664</v>
      </c>
      <c r="N21" s="79"/>
      <c r="O21" s="24" t="s">
        <v>300</v>
      </c>
    </row>
    <row r="22" spans="2:16" ht="15.75" x14ac:dyDescent="0.25">
      <c r="B22" s="8" t="s">
        <v>15</v>
      </c>
      <c r="C22" s="9">
        <v>24517</v>
      </c>
      <c r="D22" s="9">
        <v>16874</v>
      </c>
      <c r="H22" s="37" t="s">
        <v>302</v>
      </c>
      <c r="I22" s="37"/>
      <c r="J22" s="37"/>
      <c r="K22" s="37"/>
      <c r="L22" s="88">
        <v>55335</v>
      </c>
      <c r="M22" s="88"/>
      <c r="N22" s="79"/>
    </row>
    <row r="23" spans="2:16" ht="15.75" x14ac:dyDescent="0.25">
      <c r="B23" s="8" t="s">
        <v>16</v>
      </c>
      <c r="C23" s="7"/>
      <c r="D23" s="7"/>
      <c r="H23" s="37" t="s">
        <v>344</v>
      </c>
      <c r="I23" s="37" t="s">
        <v>301</v>
      </c>
      <c r="J23" s="37"/>
      <c r="K23" s="37"/>
      <c r="L23" s="79">
        <f>L22/C32</f>
        <v>1.3471698113207546</v>
      </c>
      <c r="M23" s="79"/>
      <c r="N23" s="79"/>
      <c r="O23" s="24" t="s">
        <v>303</v>
      </c>
    </row>
    <row r="24" spans="2:16" ht="15.75" x14ac:dyDescent="0.25">
      <c r="B24" s="20" t="s">
        <v>114</v>
      </c>
      <c r="C24" s="9">
        <v>1337</v>
      </c>
      <c r="D24" s="9">
        <v>1635</v>
      </c>
      <c r="H24" s="37" t="s">
        <v>73</v>
      </c>
      <c r="I24" s="37"/>
      <c r="J24" s="37"/>
      <c r="K24" s="37"/>
      <c r="L24" s="89">
        <v>54842</v>
      </c>
      <c r="M24" s="89">
        <v>47114</v>
      </c>
      <c r="N24" s="79"/>
    </row>
    <row r="25" spans="2:16" ht="15.75" x14ac:dyDescent="0.25">
      <c r="B25" s="20" t="s">
        <v>17</v>
      </c>
      <c r="C25" s="10">
        <v>984</v>
      </c>
      <c r="D25" s="10">
        <v>937</v>
      </c>
      <c r="H25" s="37" t="s">
        <v>345</v>
      </c>
      <c r="I25" s="37" t="s">
        <v>304</v>
      </c>
      <c r="J25" s="37"/>
      <c r="K25" s="37"/>
      <c r="L25" s="80">
        <f>L24/P32</f>
        <v>17.617089624156762</v>
      </c>
      <c r="M25" s="80">
        <f>M24/P32</f>
        <v>15.13459685191134</v>
      </c>
      <c r="N25" s="79"/>
      <c r="O25" s="24" t="s">
        <v>305</v>
      </c>
    </row>
    <row r="26" spans="2:16" ht="15.75" x14ac:dyDescent="0.25">
      <c r="B26" s="20" t="s">
        <v>18</v>
      </c>
      <c r="C26" s="10">
        <v>243</v>
      </c>
      <c r="D26" s="10">
        <v>272</v>
      </c>
      <c r="H26" s="37" t="s">
        <v>307</v>
      </c>
      <c r="I26" s="37" t="s">
        <v>286</v>
      </c>
      <c r="J26" s="37"/>
      <c r="K26" s="37"/>
      <c r="L26" s="87">
        <f>C31-C57</f>
        <v>8799</v>
      </c>
      <c r="M26" s="87">
        <f>D31-D57</f>
        <v>9331</v>
      </c>
      <c r="N26" s="79">
        <f>(L26+M26)/2</f>
        <v>9065</v>
      </c>
    </row>
    <row r="27" spans="2:16" ht="15.75" x14ac:dyDescent="0.25">
      <c r="B27" s="8" t="s">
        <v>19</v>
      </c>
      <c r="C27" s="10">
        <v>889</v>
      </c>
      <c r="D27" s="10">
        <v>533</v>
      </c>
      <c r="H27" s="37" t="s">
        <v>346</v>
      </c>
      <c r="I27" s="37" t="s">
        <v>306</v>
      </c>
      <c r="J27" s="37"/>
      <c r="K27" s="37"/>
      <c r="L27" s="79">
        <f>L24/L26</f>
        <v>6.2327537220138653</v>
      </c>
      <c r="M27" s="79">
        <f>M24/M26</f>
        <v>5.0491908691458578</v>
      </c>
      <c r="N27" s="79"/>
      <c r="O27" s="24" t="s">
        <v>308</v>
      </c>
    </row>
    <row r="28" spans="2:16" ht="15.75" x14ac:dyDescent="0.25">
      <c r="B28" s="8" t="s">
        <v>110</v>
      </c>
      <c r="C28" s="10">
        <v>340</v>
      </c>
      <c r="D28" s="10">
        <v>277</v>
      </c>
      <c r="H28" s="37"/>
      <c r="I28" s="37"/>
      <c r="J28" s="37"/>
      <c r="K28" s="37"/>
      <c r="L28" s="79"/>
      <c r="M28" s="79"/>
      <c r="N28" s="79"/>
    </row>
    <row r="29" spans="2:16" ht="15.75" x14ac:dyDescent="0.25">
      <c r="B29" s="8" t="s">
        <v>115</v>
      </c>
      <c r="C29" s="10">
        <v>509</v>
      </c>
      <c r="D29" s="10">
        <v>875</v>
      </c>
      <c r="H29" s="37" t="s">
        <v>347</v>
      </c>
      <c r="I29" s="37" t="s">
        <v>310</v>
      </c>
      <c r="J29" s="37"/>
      <c r="K29" s="37"/>
      <c r="L29" s="79">
        <f>L24/C25</f>
        <v>55.733739837398375</v>
      </c>
      <c r="M29" s="79">
        <f>M24/D25</f>
        <v>50.281750266808963</v>
      </c>
      <c r="N29" s="79"/>
    </row>
    <row r="30" spans="2:16" ht="15.75" x14ac:dyDescent="0.25">
      <c r="B30" s="8" t="s">
        <v>20</v>
      </c>
      <c r="C30" s="14">
        <v>1625</v>
      </c>
      <c r="D30" s="14">
        <v>1290</v>
      </c>
      <c r="H30" s="37"/>
      <c r="I30" s="37"/>
      <c r="J30" s="37"/>
      <c r="K30" s="37"/>
      <c r="L30" s="79"/>
      <c r="M30" s="79"/>
      <c r="N30" s="79"/>
    </row>
    <row r="31" spans="2:16" ht="15.75" x14ac:dyDescent="0.25">
      <c r="B31" s="7"/>
      <c r="C31" s="12">
        <v>30444</v>
      </c>
      <c r="D31" s="12">
        <v>22693</v>
      </c>
      <c r="H31" s="37" t="s">
        <v>348</v>
      </c>
      <c r="I31" s="37" t="s">
        <v>309</v>
      </c>
      <c r="J31" s="37"/>
      <c r="K31" s="37"/>
      <c r="L31" s="79">
        <f>365/L29</f>
        <v>6.5489952955763826</v>
      </c>
      <c r="M31" s="79">
        <f t="shared" ref="M31" si="0">365/M29</f>
        <v>7.2590949611580422</v>
      </c>
      <c r="N31" s="79"/>
      <c r="O31" s="24" t="s">
        <v>311</v>
      </c>
    </row>
    <row r="32" spans="2:16" ht="15.75" x14ac:dyDescent="0.25">
      <c r="B32" s="6" t="s">
        <v>21</v>
      </c>
      <c r="C32" s="12">
        <v>41075</v>
      </c>
      <c r="D32" s="12">
        <v>32862</v>
      </c>
      <c r="H32" s="37"/>
      <c r="I32" s="37" t="s">
        <v>75</v>
      </c>
      <c r="J32" s="37"/>
      <c r="K32" s="37"/>
      <c r="L32" s="79">
        <f>C7+C8+C9+C10+C11+C12</f>
        <v>3113</v>
      </c>
      <c r="M32" s="90"/>
      <c r="N32" s="79"/>
      <c r="O32" t="s">
        <v>75</v>
      </c>
      <c r="P32" s="34">
        <f>C7+C8+C9+C10+C11+C12</f>
        <v>3113</v>
      </c>
    </row>
    <row r="33" spans="2:15" ht="15.75" x14ac:dyDescent="0.25">
      <c r="B33" s="6" t="s">
        <v>22</v>
      </c>
      <c r="C33" s="13"/>
      <c r="D33" s="13"/>
      <c r="H33" s="37" t="s">
        <v>313</v>
      </c>
      <c r="I33" s="37" t="s">
        <v>314</v>
      </c>
      <c r="J33" s="37"/>
      <c r="K33" s="37"/>
      <c r="L33" s="79">
        <f>L34/C22</f>
        <v>1.7840681975771913</v>
      </c>
      <c r="M33" s="79">
        <f>M34/D22</f>
        <v>2.1892852909802061</v>
      </c>
      <c r="N33" s="79"/>
      <c r="O33" s="24" t="s">
        <v>324</v>
      </c>
    </row>
    <row r="34" spans="2:15" ht="15.75" x14ac:dyDescent="0.25">
      <c r="B34" s="6" t="s">
        <v>23</v>
      </c>
      <c r="C34" s="7"/>
      <c r="D34" s="7"/>
      <c r="H34" s="44"/>
      <c r="I34" s="37" t="s">
        <v>315</v>
      </c>
      <c r="J34" s="37"/>
      <c r="K34" s="37"/>
      <c r="L34" s="79">
        <v>43740</v>
      </c>
      <c r="M34" s="91">
        <v>36942</v>
      </c>
      <c r="N34" s="92"/>
    </row>
    <row r="35" spans="2:15" ht="15.75" x14ac:dyDescent="0.25">
      <c r="B35" s="8" t="s">
        <v>24</v>
      </c>
      <c r="C35" s="10">
        <v>89</v>
      </c>
      <c r="D35" s="10">
        <v>89</v>
      </c>
      <c r="H35" s="37" t="s">
        <v>316</v>
      </c>
      <c r="I35" s="37" t="s">
        <v>317</v>
      </c>
      <c r="J35" s="37"/>
      <c r="K35" s="37"/>
      <c r="L35" s="79">
        <f>365/L33</f>
        <v>204.58859167809786</v>
      </c>
      <c r="M35" s="91">
        <f>365/M33</f>
        <v>166.72107628173896</v>
      </c>
      <c r="N35" s="92"/>
      <c r="O35" s="24" t="s">
        <v>324</v>
      </c>
    </row>
    <row r="36" spans="2:15" ht="15.75" x14ac:dyDescent="0.25">
      <c r="B36" s="8" t="s">
        <v>25</v>
      </c>
      <c r="C36" s="14">
        <v>16722</v>
      </c>
      <c r="D36" s="14">
        <v>14368</v>
      </c>
      <c r="H36" s="37" t="s">
        <v>318</v>
      </c>
      <c r="I36" s="37" t="s">
        <v>319</v>
      </c>
      <c r="J36" s="37"/>
      <c r="K36" s="37"/>
      <c r="L36" s="91">
        <f>L34/(C51+C52)</f>
        <v>29.714673913043477</v>
      </c>
      <c r="M36" s="91">
        <f>M34/(D51+D52)</f>
        <v>39.174973488865326</v>
      </c>
      <c r="N36" s="92"/>
      <c r="O36" t="s">
        <v>322</v>
      </c>
    </row>
    <row r="37" spans="2:15" ht="15.75" x14ac:dyDescent="0.25">
      <c r="B37" s="6" t="s">
        <v>26</v>
      </c>
      <c r="C37" s="12">
        <v>16811</v>
      </c>
      <c r="D37" s="12">
        <v>14457</v>
      </c>
      <c r="H37" s="37" t="s">
        <v>320</v>
      </c>
      <c r="I37" s="37" t="s">
        <v>321</v>
      </c>
      <c r="J37" s="37"/>
      <c r="K37" s="37"/>
      <c r="L37" s="91">
        <f>365/L36</f>
        <v>12.283493369913124</v>
      </c>
      <c r="M37" s="91">
        <f>365/M36</f>
        <v>9.3171728655730597</v>
      </c>
      <c r="N37" s="92"/>
      <c r="O37" t="s">
        <v>323</v>
      </c>
    </row>
    <row r="38" spans="2:15" ht="15.75" x14ac:dyDescent="0.25">
      <c r="B38" s="6" t="s">
        <v>27</v>
      </c>
      <c r="C38" s="13"/>
      <c r="D38" s="13"/>
      <c r="H38" s="44"/>
      <c r="I38" s="44"/>
      <c r="J38" s="44"/>
      <c r="K38" s="44"/>
      <c r="L38" s="91"/>
      <c r="M38" s="91"/>
      <c r="N38" s="92"/>
    </row>
    <row r="39" spans="2:15" ht="15.75" x14ac:dyDescent="0.25">
      <c r="B39" s="6" t="s">
        <v>28</v>
      </c>
      <c r="C39" s="7"/>
      <c r="D39" s="7"/>
      <c r="H39" s="37" t="s">
        <v>77</v>
      </c>
      <c r="I39" s="29">
        <v>317108</v>
      </c>
      <c r="J39" s="29"/>
      <c r="K39" s="29"/>
      <c r="L39" s="92"/>
      <c r="M39" s="92"/>
      <c r="N39" s="92"/>
    </row>
    <row r="40" spans="2:15" ht="15.75" x14ac:dyDescent="0.25">
      <c r="B40" s="8" t="s">
        <v>29</v>
      </c>
      <c r="C40" s="7"/>
      <c r="D40" s="7"/>
      <c r="H40" s="37" t="s">
        <v>76</v>
      </c>
      <c r="I40" s="29">
        <f>I39/I41</f>
        <v>3563.0112359550562</v>
      </c>
      <c r="J40" s="29"/>
      <c r="K40" s="29"/>
      <c r="L40" s="92"/>
      <c r="M40" s="92"/>
      <c r="N40" s="79"/>
    </row>
    <row r="41" spans="2:15" ht="15.75" x14ac:dyDescent="0.25">
      <c r="B41" s="8" t="s">
        <v>79</v>
      </c>
      <c r="C41" s="10">
        <v>420</v>
      </c>
      <c r="D41" s="9">
        <v>3139</v>
      </c>
      <c r="H41" s="37" t="s">
        <v>78</v>
      </c>
      <c r="I41" s="29">
        <v>89</v>
      </c>
      <c r="J41" s="29"/>
      <c r="K41" s="29"/>
      <c r="L41" s="92"/>
      <c r="M41" s="79">
        <v>89</v>
      </c>
      <c r="N41" s="79"/>
    </row>
    <row r="42" spans="2:15" ht="15.75" x14ac:dyDescent="0.25">
      <c r="B42" s="8" t="s">
        <v>83</v>
      </c>
      <c r="C42" s="9">
        <v>1943</v>
      </c>
      <c r="D42" s="9">
        <v>1666</v>
      </c>
      <c r="H42" s="37" t="s">
        <v>74</v>
      </c>
      <c r="I42" s="37" t="s">
        <v>325</v>
      </c>
      <c r="J42" s="37"/>
      <c r="K42" s="37"/>
      <c r="L42" s="79">
        <f>L20/I41</f>
        <v>37.471910112359552</v>
      </c>
      <c r="M42" s="92"/>
      <c r="N42" s="79"/>
    </row>
    <row r="43" spans="2:15" ht="15.75" x14ac:dyDescent="0.25">
      <c r="B43" s="8" t="s">
        <v>80</v>
      </c>
      <c r="C43" s="11">
        <v>256</v>
      </c>
      <c r="D43" s="11">
        <v>238</v>
      </c>
      <c r="H43" s="37" t="s">
        <v>98</v>
      </c>
      <c r="I43" s="37" t="s">
        <v>326</v>
      </c>
      <c r="J43" s="37"/>
      <c r="K43" s="37"/>
      <c r="L43" s="79">
        <f>I40/L42</f>
        <v>95.084857571214386</v>
      </c>
      <c r="M43" s="92"/>
      <c r="N43" s="79"/>
      <c r="O43" t="s">
        <v>327</v>
      </c>
    </row>
    <row r="44" spans="2:15" ht="15.75" x14ac:dyDescent="0.25">
      <c r="B44" s="7"/>
      <c r="C44" s="12">
        <v>2619</v>
      </c>
      <c r="D44" s="12">
        <v>5043</v>
      </c>
      <c r="H44" s="37" t="s">
        <v>95</v>
      </c>
      <c r="I44" s="37" t="s">
        <v>96</v>
      </c>
      <c r="J44" s="37"/>
      <c r="K44" s="37"/>
      <c r="L44" s="79">
        <f>L45/L42*100</f>
        <v>38.260869565217391</v>
      </c>
      <c r="M44" s="79"/>
      <c r="N44" s="79" t="s">
        <v>96</v>
      </c>
      <c r="O44" t="s">
        <v>330</v>
      </c>
    </row>
    <row r="45" spans="2:15" ht="15.75" x14ac:dyDescent="0.25">
      <c r="B45" s="6" t="s">
        <v>30</v>
      </c>
      <c r="C45" s="13"/>
      <c r="D45" s="13"/>
      <c r="H45" s="37" t="s">
        <v>94</v>
      </c>
      <c r="I45" s="37" t="s">
        <v>328</v>
      </c>
      <c r="J45" s="37"/>
      <c r="K45" s="37"/>
      <c r="L45" s="79">
        <f>C61/I41</f>
        <v>14.337078651685394</v>
      </c>
      <c r="M45" s="79">
        <f>D61/M41</f>
        <v>12.943820224719101</v>
      </c>
      <c r="N45" s="79"/>
      <c r="O45" s="24"/>
    </row>
    <row r="46" spans="2:15" ht="15.75" x14ac:dyDescent="0.25">
      <c r="B46" s="8" t="s">
        <v>29</v>
      </c>
      <c r="C46" s="7"/>
      <c r="D46" s="7"/>
      <c r="H46" s="37" t="s">
        <v>93</v>
      </c>
      <c r="I46" s="37" t="s">
        <v>329</v>
      </c>
      <c r="J46" s="37"/>
      <c r="K46" s="37"/>
      <c r="L46" s="79">
        <f>L45/I40*100</f>
        <v>0.40238656861384764</v>
      </c>
      <c r="M46" s="79">
        <f>M45/I40*100</f>
        <v>0.36328317166391261</v>
      </c>
      <c r="N46" s="79"/>
      <c r="O46" t="s">
        <v>331</v>
      </c>
    </row>
    <row r="47" spans="2:15" ht="15.75" x14ac:dyDescent="0.25">
      <c r="B47" s="8" t="s">
        <v>81</v>
      </c>
      <c r="C47" s="9">
        <v>7483</v>
      </c>
      <c r="D47" s="9">
        <v>2670</v>
      </c>
    </row>
    <row r="48" spans="2:15" ht="15.75" x14ac:dyDescent="0.25">
      <c r="B48" s="8" t="s">
        <v>117</v>
      </c>
      <c r="C48" s="9">
        <v>7043</v>
      </c>
      <c r="D48" s="9">
        <v>4938</v>
      </c>
    </row>
    <row r="49" spans="2:15" ht="15.75" x14ac:dyDescent="0.25">
      <c r="B49" s="8" t="s">
        <v>84</v>
      </c>
      <c r="C49" s="10">
        <v>282</v>
      </c>
      <c r="D49" s="10">
        <v>248</v>
      </c>
      <c r="L49" s="24"/>
      <c r="M49" s="24"/>
      <c r="N49" s="24"/>
      <c r="O49" s="24"/>
    </row>
    <row r="50" spans="2:15" ht="15.75" x14ac:dyDescent="0.25">
      <c r="B50" s="8" t="s">
        <v>31</v>
      </c>
      <c r="C50" s="7"/>
      <c r="D50" s="7"/>
      <c r="H50" s="18"/>
      <c r="I50" s="18"/>
      <c r="J50" s="18"/>
      <c r="K50" s="18"/>
      <c r="L50" s="24"/>
      <c r="M50" s="24"/>
      <c r="N50" s="24"/>
      <c r="O50" s="24"/>
    </row>
    <row r="51" spans="2:15" ht="15.75" x14ac:dyDescent="0.25">
      <c r="B51" s="8" t="s">
        <v>32</v>
      </c>
      <c r="C51" s="10">
        <v>158</v>
      </c>
      <c r="D51" s="10">
        <v>166</v>
      </c>
      <c r="L51" s="24"/>
      <c r="M51" s="24"/>
      <c r="N51" s="24"/>
      <c r="O51" s="24"/>
    </row>
    <row r="52" spans="2:15" ht="15.75" x14ac:dyDescent="0.25">
      <c r="B52" s="8" t="s">
        <v>33</v>
      </c>
      <c r="C52" s="9">
        <v>1314</v>
      </c>
      <c r="D52" s="10">
        <v>777</v>
      </c>
      <c r="O52" s="24"/>
    </row>
    <row r="53" spans="2:15" ht="15.75" x14ac:dyDescent="0.25">
      <c r="B53" s="8" t="s">
        <v>109</v>
      </c>
      <c r="C53" s="9">
        <v>1134</v>
      </c>
      <c r="D53" s="10">
        <v>624</v>
      </c>
      <c r="O53" s="24"/>
    </row>
    <row r="54" spans="2:15" ht="15.75" x14ac:dyDescent="0.25">
      <c r="B54" s="8" t="s">
        <v>34</v>
      </c>
      <c r="C54" s="9">
        <v>4069</v>
      </c>
      <c r="D54" s="9">
        <v>3801</v>
      </c>
      <c r="O54" s="24"/>
    </row>
    <row r="55" spans="2:15" ht="15.75" x14ac:dyDescent="0.25">
      <c r="B55" s="8" t="s">
        <v>82</v>
      </c>
      <c r="C55" s="10">
        <v>130</v>
      </c>
      <c r="D55" s="10">
        <v>81</v>
      </c>
      <c r="O55" s="24"/>
    </row>
    <row r="56" spans="2:15" ht="15.75" x14ac:dyDescent="0.25">
      <c r="B56" s="8" t="s">
        <v>35</v>
      </c>
      <c r="C56" s="11">
        <v>32</v>
      </c>
      <c r="D56" s="11">
        <v>57</v>
      </c>
    </row>
    <row r="57" spans="2:15" ht="15.75" x14ac:dyDescent="0.25">
      <c r="B57" s="7"/>
      <c r="C57" s="12">
        <v>21645</v>
      </c>
      <c r="D57" s="12">
        <v>13362</v>
      </c>
    </row>
    <row r="58" spans="2:15" ht="15.75" x14ac:dyDescent="0.25">
      <c r="B58" s="6" t="s">
        <v>36</v>
      </c>
      <c r="C58" s="12">
        <v>41075</v>
      </c>
      <c r="D58" s="12">
        <v>32862</v>
      </c>
    </row>
    <row r="59" spans="2:15" ht="15.75" x14ac:dyDescent="0.25">
      <c r="B59" s="15" t="s">
        <v>37</v>
      </c>
      <c r="C59" s="16"/>
      <c r="D59" s="16"/>
    </row>
    <row r="61" spans="2:15" ht="15.75" x14ac:dyDescent="0.25">
      <c r="B61" s="18" t="s">
        <v>85</v>
      </c>
      <c r="C61" s="39">
        <v>1276</v>
      </c>
      <c r="D61" s="39">
        <v>1152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94F2-B510-4ABF-BD07-AD12959D6B23}">
  <dimension ref="B1:N37"/>
  <sheetViews>
    <sheetView topLeftCell="I1" workbookViewId="0">
      <selection activeCell="O10" sqref="O10"/>
    </sheetView>
  </sheetViews>
  <sheetFormatPr defaultRowHeight="15" x14ac:dyDescent="0.25"/>
  <cols>
    <col min="2" max="2" width="76.7109375" bestFit="1" customWidth="1"/>
    <col min="10" max="11" width="44" customWidth="1"/>
  </cols>
  <sheetData>
    <row r="1" spans="2:14" ht="18.75" x14ac:dyDescent="0.25">
      <c r="B1" s="1" t="s">
        <v>65</v>
      </c>
      <c r="C1" s="1"/>
      <c r="D1" s="1"/>
    </row>
    <row r="2" spans="2:14" ht="15.75" x14ac:dyDescent="0.25">
      <c r="B2" s="18" t="s">
        <v>3</v>
      </c>
      <c r="C2" s="18">
        <v>2025</v>
      </c>
      <c r="D2" s="18">
        <v>2024</v>
      </c>
    </row>
    <row r="3" spans="2:14" ht="15.75" x14ac:dyDescent="0.25">
      <c r="B3" t="s">
        <v>86</v>
      </c>
      <c r="C3" s="40">
        <v>55872</v>
      </c>
      <c r="D3" s="41">
        <v>49641</v>
      </c>
    </row>
    <row r="4" spans="2:14" ht="15.75" x14ac:dyDescent="0.25">
      <c r="B4" t="s">
        <v>87</v>
      </c>
      <c r="C4" s="42">
        <v>1030</v>
      </c>
      <c r="D4" s="42">
        <v>2527</v>
      </c>
      <c r="J4" s="29" t="s">
        <v>358</v>
      </c>
      <c r="K4" s="29" t="s">
        <v>281</v>
      </c>
      <c r="L4" s="30">
        <v>45717</v>
      </c>
      <c r="M4" s="30">
        <v>45352</v>
      </c>
    </row>
    <row r="5" spans="2:14" ht="15.75" x14ac:dyDescent="0.25">
      <c r="B5" s="2" t="s">
        <v>38</v>
      </c>
      <c r="C5" s="22">
        <v>54842</v>
      </c>
      <c r="D5" s="22">
        <v>47114</v>
      </c>
      <c r="F5" s="34">
        <f>C3-C4</f>
        <v>54842</v>
      </c>
      <c r="G5" s="34">
        <f>D3-D4</f>
        <v>47114</v>
      </c>
      <c r="J5" s="29" t="s">
        <v>88</v>
      </c>
      <c r="K5" s="29" t="s">
        <v>349</v>
      </c>
      <c r="L5" s="31">
        <f>(C18+C14+C13)/C5*100</f>
        <v>10.548484737974546</v>
      </c>
      <c r="M5" s="31">
        <f>(D18+D14+D13)/D5*100</f>
        <v>11.74597784098145</v>
      </c>
      <c r="N5" s="24" t="s">
        <v>354</v>
      </c>
    </row>
    <row r="6" spans="2:14" ht="15.75" x14ac:dyDescent="0.25">
      <c r="B6" s="2" t="s">
        <v>39</v>
      </c>
      <c r="C6" s="21">
        <v>493</v>
      </c>
      <c r="D6" s="21">
        <v>510</v>
      </c>
      <c r="J6" s="29" t="s">
        <v>90</v>
      </c>
      <c r="K6" s="29" t="s">
        <v>350</v>
      </c>
      <c r="L6" s="29">
        <f>F18/C5*100</f>
        <v>9.5693081944495084</v>
      </c>
      <c r="M6" s="29">
        <f>G18/D5</f>
        <v>0.10797215265101669</v>
      </c>
      <c r="N6" s="24" t="s">
        <v>355</v>
      </c>
    </row>
    <row r="7" spans="2:14" ht="15.75" x14ac:dyDescent="0.25">
      <c r="B7" s="18" t="s">
        <v>40</v>
      </c>
      <c r="C7" s="23">
        <v>55335</v>
      </c>
      <c r="D7" s="23">
        <v>47624</v>
      </c>
      <c r="J7" s="29" t="s">
        <v>89</v>
      </c>
      <c r="K7" s="29" t="s">
        <v>351</v>
      </c>
      <c r="L7" s="94">
        <f>C24/C7*100</f>
        <v>6.0269268997921746</v>
      </c>
      <c r="M7" s="94">
        <f>D24/D7*100</f>
        <v>7.4416260708886277</v>
      </c>
      <c r="N7" s="24" t="s">
        <v>356</v>
      </c>
    </row>
    <row r="8" spans="2:14" ht="15.75" x14ac:dyDescent="0.25">
      <c r="B8" s="2" t="s">
        <v>41</v>
      </c>
      <c r="C8" s="24"/>
      <c r="D8" s="24"/>
      <c r="J8" s="29" t="s">
        <v>92</v>
      </c>
      <c r="K8" s="29" t="s">
        <v>352</v>
      </c>
      <c r="L8" s="31">
        <f>(C6-D6)/D6*100</f>
        <v>-3.3333333333333335</v>
      </c>
      <c r="M8" s="29"/>
      <c r="N8" t="s">
        <v>91</v>
      </c>
    </row>
    <row r="9" spans="2:14" ht="15.75" x14ac:dyDescent="0.25">
      <c r="B9" s="2" t="s">
        <v>42</v>
      </c>
      <c r="C9" s="22">
        <v>43905</v>
      </c>
      <c r="D9" s="22">
        <v>33556</v>
      </c>
      <c r="J9" s="37" t="s">
        <v>97</v>
      </c>
      <c r="K9" s="29" t="s">
        <v>353</v>
      </c>
      <c r="L9" s="68">
        <f>F18/C13</f>
        <v>6.8422425032594525</v>
      </c>
      <c r="M9" s="68">
        <f>G18/D13</f>
        <v>10.597916666666666</v>
      </c>
      <c r="N9" s="24" t="s">
        <v>357</v>
      </c>
    </row>
    <row r="10" spans="2:14" ht="15.75" x14ac:dyDescent="0.25">
      <c r="B10" s="2" t="s">
        <v>43</v>
      </c>
      <c r="C10" s="22">
        <v>6372</v>
      </c>
      <c r="D10" s="22">
        <v>5535</v>
      </c>
      <c r="J10" s="29"/>
      <c r="K10" s="29"/>
      <c r="L10" s="32"/>
      <c r="M10" s="29"/>
    </row>
    <row r="11" spans="2:14" ht="18.75" x14ac:dyDescent="0.25">
      <c r="B11" s="2" t="s">
        <v>66</v>
      </c>
      <c r="C11" s="25">
        <v>-6537</v>
      </c>
      <c r="D11" s="25">
        <v>-2149</v>
      </c>
      <c r="E11" s="69">
        <f>SUM(C9:C11)</f>
        <v>43740</v>
      </c>
      <c r="F11" s="69">
        <f>SUM(D9:D11)</f>
        <v>36942</v>
      </c>
      <c r="G11" t="s">
        <v>312</v>
      </c>
      <c r="H11" t="s">
        <v>395</v>
      </c>
      <c r="J11" s="31"/>
      <c r="K11" s="70"/>
      <c r="M11" s="35"/>
    </row>
    <row r="12" spans="2:14" ht="15.75" x14ac:dyDescent="0.25">
      <c r="B12" s="2" t="s">
        <v>44</v>
      </c>
      <c r="C12" s="22">
        <v>1717</v>
      </c>
      <c r="D12" s="22">
        <v>1503</v>
      </c>
      <c r="J12" s="29"/>
      <c r="K12" s="29"/>
      <c r="L12" s="33"/>
      <c r="M12" s="29"/>
    </row>
    <row r="13" spans="2:14" ht="15.75" x14ac:dyDescent="0.25">
      <c r="B13" s="2" t="s">
        <v>45</v>
      </c>
      <c r="C13" s="21">
        <v>767</v>
      </c>
      <c r="D13" s="21">
        <v>480</v>
      </c>
      <c r="J13" s="31"/>
      <c r="K13" s="31"/>
      <c r="L13" s="33"/>
      <c r="M13" s="29"/>
    </row>
    <row r="14" spans="2:14" ht="15.75" x14ac:dyDescent="0.25">
      <c r="B14" s="2" t="s">
        <v>46</v>
      </c>
      <c r="C14" s="21">
        <v>537</v>
      </c>
      <c r="D14" s="21">
        <v>447</v>
      </c>
      <c r="J14" s="29"/>
      <c r="K14" s="29"/>
      <c r="L14" s="33"/>
      <c r="M14" s="29"/>
    </row>
    <row r="15" spans="2:14" ht="15.75" x14ac:dyDescent="0.25">
      <c r="B15" s="2" t="s">
        <v>47</v>
      </c>
      <c r="C15" s="22">
        <v>4093</v>
      </c>
      <c r="D15" s="22">
        <v>3645</v>
      </c>
      <c r="J15" s="37"/>
      <c r="K15" s="18"/>
    </row>
    <row r="16" spans="2:14" ht="15.75" x14ac:dyDescent="0.25">
      <c r="B16" s="18" t="s">
        <v>48</v>
      </c>
      <c r="C16" s="23">
        <v>50854</v>
      </c>
      <c r="D16" s="23">
        <v>43017</v>
      </c>
    </row>
    <row r="17" spans="2:7" ht="15.75" x14ac:dyDescent="0.25">
      <c r="B17" s="24" t="s">
        <v>68</v>
      </c>
      <c r="C17" s="43"/>
      <c r="D17" s="24"/>
    </row>
    <row r="18" spans="2:7" ht="15.75" x14ac:dyDescent="0.25">
      <c r="B18" s="2" t="s">
        <v>49</v>
      </c>
      <c r="C18" s="23">
        <v>4481</v>
      </c>
      <c r="D18" s="23">
        <v>4607</v>
      </c>
      <c r="E18" t="s">
        <v>67</v>
      </c>
      <c r="F18" s="34">
        <f>C18+C13</f>
        <v>5248</v>
      </c>
      <c r="G18" s="34">
        <f>D18+D13</f>
        <v>5087</v>
      </c>
    </row>
    <row r="19" spans="2:7" ht="15.75" x14ac:dyDescent="0.25">
      <c r="B19" s="24"/>
      <c r="C19" s="24"/>
      <c r="D19" s="24"/>
    </row>
    <row r="20" spans="2:7" ht="15.75" x14ac:dyDescent="0.25">
      <c r="B20" s="2" t="s">
        <v>50</v>
      </c>
      <c r="C20" s="24"/>
      <c r="D20" s="24"/>
    </row>
    <row r="21" spans="2:7" ht="15.75" x14ac:dyDescent="0.25">
      <c r="B21" s="2" t="s">
        <v>51</v>
      </c>
      <c r="C21" s="22">
        <v>1117</v>
      </c>
      <c r="D21" s="22">
        <v>1072</v>
      </c>
    </row>
    <row r="22" spans="2:7" ht="15.75" x14ac:dyDescent="0.25">
      <c r="B22" s="2" t="s">
        <v>52</v>
      </c>
      <c r="C22" s="21">
        <v>29</v>
      </c>
      <c r="D22" s="26">
        <v>-9</v>
      </c>
    </row>
    <row r="23" spans="2:7" ht="15.75" x14ac:dyDescent="0.25">
      <c r="B23" s="18" t="s">
        <v>53</v>
      </c>
      <c r="C23" s="23">
        <v>1146</v>
      </c>
      <c r="D23" s="23">
        <v>1063</v>
      </c>
    </row>
    <row r="24" spans="2:7" ht="15.75" x14ac:dyDescent="0.25">
      <c r="B24" s="18" t="s">
        <v>54</v>
      </c>
      <c r="C24" s="23">
        <v>3335</v>
      </c>
      <c r="D24" s="23">
        <v>3544</v>
      </c>
      <c r="E24" t="s">
        <v>72</v>
      </c>
    </row>
    <row r="25" spans="2:7" ht="15.75" x14ac:dyDescent="0.25">
      <c r="B25" s="2" t="s">
        <v>55</v>
      </c>
      <c r="C25" s="24"/>
      <c r="D25" s="24"/>
    </row>
    <row r="26" spans="2:7" ht="15.75" x14ac:dyDescent="0.25">
      <c r="B26" s="2" t="s">
        <v>56</v>
      </c>
      <c r="C26" s="24"/>
      <c r="D26" s="24"/>
    </row>
    <row r="27" spans="2:7" ht="15.75" x14ac:dyDescent="0.25">
      <c r="B27" s="2" t="s">
        <v>57</v>
      </c>
      <c r="C27" s="26">
        <v>-25</v>
      </c>
      <c r="D27" s="26">
        <v>-4</v>
      </c>
    </row>
    <row r="28" spans="2:7" ht="15.75" x14ac:dyDescent="0.25">
      <c r="B28" s="2" t="s">
        <v>58</v>
      </c>
      <c r="C28" s="21">
        <v>6</v>
      </c>
      <c r="D28" s="21">
        <v>1</v>
      </c>
    </row>
    <row r="29" spans="2:7" ht="15.75" x14ac:dyDescent="0.25">
      <c r="B29" s="18" t="s">
        <v>59</v>
      </c>
      <c r="C29" s="27">
        <v>-19</v>
      </c>
      <c r="D29" s="27">
        <v>-3</v>
      </c>
    </row>
    <row r="30" spans="2:7" ht="15.75" x14ac:dyDescent="0.25">
      <c r="B30" s="18" t="s">
        <v>60</v>
      </c>
      <c r="C30" s="23">
        <v>3316</v>
      </c>
      <c r="D30" s="23">
        <v>3541</v>
      </c>
    </row>
    <row r="31" spans="2:7" ht="15.75" x14ac:dyDescent="0.25">
      <c r="B31" s="2" t="s">
        <v>61</v>
      </c>
      <c r="C31" s="24"/>
      <c r="D31" s="24"/>
    </row>
    <row r="32" spans="2:7" ht="15.75" x14ac:dyDescent="0.25">
      <c r="B32" s="2" t="s">
        <v>62</v>
      </c>
      <c r="C32" s="24"/>
      <c r="D32" s="24"/>
    </row>
    <row r="33" spans="2:4" ht="15.75" x14ac:dyDescent="0.25">
      <c r="B33" s="2" t="s">
        <v>63</v>
      </c>
      <c r="C33" s="28">
        <v>37.6</v>
      </c>
      <c r="D33" s="28">
        <v>39.94</v>
      </c>
    </row>
    <row r="34" spans="2:4" ht="15.75" x14ac:dyDescent="0.25">
      <c r="B34" s="2" t="s">
        <v>64</v>
      </c>
      <c r="C34" s="28">
        <v>37.58</v>
      </c>
      <c r="D34" s="28">
        <v>39.92</v>
      </c>
    </row>
    <row r="37" spans="2:4" ht="15.75" x14ac:dyDescent="0.25">
      <c r="B37" s="18" t="s">
        <v>85</v>
      </c>
      <c r="C37" s="39">
        <v>1276</v>
      </c>
      <c r="D37" s="39">
        <v>1152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3F27-4AA5-4FE8-AFF4-47BF585C70CE}">
  <dimension ref="A1:F52"/>
  <sheetViews>
    <sheetView workbookViewId="0">
      <selection activeCell="I11" sqref="I11"/>
    </sheetView>
  </sheetViews>
  <sheetFormatPr defaultRowHeight="15" x14ac:dyDescent="0.25"/>
  <cols>
    <col min="1" max="1" width="10" bestFit="1" customWidth="1"/>
    <col min="2" max="2" width="11.42578125" bestFit="1" customWidth="1"/>
    <col min="5" max="5" width="10" bestFit="1" customWidth="1"/>
    <col min="6" max="6" width="12" bestFit="1" customWidth="1"/>
    <col min="10" max="10" width="13.7109375" customWidth="1"/>
    <col min="11" max="11" width="10.85546875" customWidth="1"/>
  </cols>
  <sheetData>
    <row r="1" spans="1:6" ht="15.75" x14ac:dyDescent="0.25">
      <c r="A1" t="s">
        <v>102</v>
      </c>
      <c r="E1" s="46" t="s">
        <v>101</v>
      </c>
      <c r="F1" s="46"/>
    </row>
    <row r="2" spans="1:6" ht="15.75" x14ac:dyDescent="0.25">
      <c r="A2" s="46" t="s">
        <v>99</v>
      </c>
      <c r="B2" s="46" t="s">
        <v>100</v>
      </c>
      <c r="E2" s="46" t="s">
        <v>99</v>
      </c>
      <c r="F2" s="46" t="s">
        <v>100</v>
      </c>
    </row>
    <row r="3" spans="1:6" ht="15.75" x14ac:dyDescent="0.25">
      <c r="A3" s="46">
        <v>1</v>
      </c>
      <c r="B3" s="46" t="s">
        <v>103</v>
      </c>
      <c r="E3" s="46">
        <v>1</v>
      </c>
      <c r="F3" s="46" t="s">
        <v>103</v>
      </c>
    </row>
    <row r="4" spans="1:6" ht="15.75" x14ac:dyDescent="0.25">
      <c r="A4" s="46">
        <v>2</v>
      </c>
      <c r="B4" s="46" t="s">
        <v>104</v>
      </c>
      <c r="E4" s="46">
        <v>2</v>
      </c>
      <c r="F4" s="46" t="s">
        <v>104</v>
      </c>
    </row>
    <row r="5" spans="1:6" ht="15.75" x14ac:dyDescent="0.25">
      <c r="A5" s="46">
        <v>3</v>
      </c>
      <c r="B5" s="46" t="s">
        <v>105</v>
      </c>
      <c r="E5" s="46">
        <v>3</v>
      </c>
      <c r="F5" s="46" t="s">
        <v>105</v>
      </c>
    </row>
    <row r="6" spans="1:6" ht="15.75" x14ac:dyDescent="0.25">
      <c r="A6" s="46">
        <v>4</v>
      </c>
      <c r="B6" s="46" t="s">
        <v>105</v>
      </c>
      <c r="E6" s="46">
        <v>4</v>
      </c>
      <c r="F6" s="46" t="s">
        <v>105</v>
      </c>
    </row>
    <row r="7" spans="1:6" ht="15.75" x14ac:dyDescent="0.25">
      <c r="A7" s="46">
        <v>5</v>
      </c>
      <c r="B7" s="46" t="s">
        <v>104</v>
      </c>
      <c r="E7" s="46">
        <v>5</v>
      </c>
      <c r="F7" s="46" t="s">
        <v>104</v>
      </c>
    </row>
    <row r="8" spans="1:6" ht="15.75" x14ac:dyDescent="0.25">
      <c r="A8" s="46">
        <v>6</v>
      </c>
      <c r="B8" s="46" t="s">
        <v>106</v>
      </c>
      <c r="E8" s="46">
        <v>6</v>
      </c>
      <c r="F8" s="46" t="s">
        <v>107</v>
      </c>
    </row>
    <row r="9" spans="1:6" ht="15.75" x14ac:dyDescent="0.25">
      <c r="A9" s="46">
        <v>7</v>
      </c>
      <c r="B9" s="46" t="s">
        <v>104</v>
      </c>
      <c r="E9" s="46">
        <v>7</v>
      </c>
      <c r="F9" s="46" t="s">
        <v>108</v>
      </c>
    </row>
    <row r="10" spans="1:6" ht="15.75" x14ac:dyDescent="0.25">
      <c r="A10" s="46">
        <v>8</v>
      </c>
      <c r="B10" s="46" t="s">
        <v>106</v>
      </c>
      <c r="E10" s="46">
        <v>8</v>
      </c>
      <c r="F10" s="46" t="s">
        <v>107</v>
      </c>
    </row>
    <row r="11" spans="1:6" ht="15.75" x14ac:dyDescent="0.25">
      <c r="A11" s="46">
        <v>9</v>
      </c>
      <c r="B11" s="46" t="s">
        <v>106</v>
      </c>
      <c r="E11" s="46">
        <v>9</v>
      </c>
      <c r="F11" s="46" t="s">
        <v>108</v>
      </c>
    </row>
    <row r="12" spans="1:6" ht="15.75" x14ac:dyDescent="0.25">
      <c r="A12" s="46">
        <v>10</v>
      </c>
      <c r="B12" s="46" t="s">
        <v>107</v>
      </c>
      <c r="E12" s="46">
        <v>10</v>
      </c>
      <c r="F12" s="46" t="s">
        <v>107</v>
      </c>
    </row>
    <row r="13" spans="1:6" ht="15.75" x14ac:dyDescent="0.25">
      <c r="A13" s="46">
        <v>11</v>
      </c>
      <c r="B13" s="46" t="s">
        <v>108</v>
      </c>
      <c r="E13" s="46">
        <v>11</v>
      </c>
      <c r="F13" s="47" t="s">
        <v>107</v>
      </c>
    </row>
    <row r="14" spans="1:6" ht="15.75" x14ac:dyDescent="0.25">
      <c r="A14" s="46">
        <v>12</v>
      </c>
      <c r="B14" s="46" t="s">
        <v>107</v>
      </c>
      <c r="E14" s="46">
        <v>12</v>
      </c>
      <c r="F14" s="46" t="s">
        <v>106</v>
      </c>
    </row>
    <row r="15" spans="1:6" ht="15.75" x14ac:dyDescent="0.25">
      <c r="A15" s="46">
        <v>13</v>
      </c>
      <c r="B15" s="46" t="s">
        <v>108</v>
      </c>
      <c r="E15" s="46">
        <v>13</v>
      </c>
      <c r="F15" s="46" t="s">
        <v>103</v>
      </c>
    </row>
    <row r="16" spans="1:6" ht="15.75" x14ac:dyDescent="0.25">
      <c r="A16" s="46">
        <v>14</v>
      </c>
      <c r="B16" s="46" t="s">
        <v>107</v>
      </c>
      <c r="E16" s="46">
        <v>14</v>
      </c>
      <c r="F16" s="46" t="s">
        <v>107</v>
      </c>
    </row>
    <row r="17" spans="1:6" ht="15.75" x14ac:dyDescent="0.25">
      <c r="A17" s="46">
        <v>15</v>
      </c>
      <c r="B17" s="46" t="s">
        <v>106</v>
      </c>
      <c r="E17" s="46">
        <v>15</v>
      </c>
      <c r="F17" s="46" t="s">
        <v>104</v>
      </c>
    </row>
    <row r="18" spans="1:6" ht="15.75" x14ac:dyDescent="0.25">
      <c r="A18" s="46">
        <v>16</v>
      </c>
      <c r="B18" s="47" t="s">
        <v>107</v>
      </c>
      <c r="E18" s="46">
        <v>16</v>
      </c>
      <c r="F18" s="46" t="s">
        <v>106</v>
      </c>
    </row>
    <row r="19" spans="1:6" ht="15.75" x14ac:dyDescent="0.25">
      <c r="A19" s="46">
        <v>17</v>
      </c>
      <c r="B19" s="46" t="s">
        <v>106</v>
      </c>
      <c r="E19" s="46">
        <v>17</v>
      </c>
      <c r="F19" s="46" t="s">
        <v>104</v>
      </c>
    </row>
    <row r="20" spans="1:6" ht="15.75" x14ac:dyDescent="0.25">
      <c r="A20" s="46">
        <v>18</v>
      </c>
      <c r="B20" s="46" t="s">
        <v>103</v>
      </c>
      <c r="E20" s="46">
        <v>18</v>
      </c>
      <c r="F20" s="46" t="s">
        <v>107</v>
      </c>
    </row>
    <row r="21" spans="1:6" ht="15.75" x14ac:dyDescent="0.25">
      <c r="A21" s="46">
        <v>19</v>
      </c>
      <c r="B21" s="46" t="s">
        <v>107</v>
      </c>
      <c r="E21" s="46">
        <v>19</v>
      </c>
      <c r="F21" s="46" t="s">
        <v>106</v>
      </c>
    </row>
    <row r="22" spans="1:6" ht="15.75" x14ac:dyDescent="0.25">
      <c r="A22" s="46">
        <v>20</v>
      </c>
      <c r="B22" s="46" t="s">
        <v>104</v>
      </c>
      <c r="E22" s="46">
        <v>20</v>
      </c>
      <c r="F22" s="46" t="s">
        <v>103</v>
      </c>
    </row>
    <row r="23" spans="1:6" ht="15.75" x14ac:dyDescent="0.25">
      <c r="A23" s="46">
        <v>21</v>
      </c>
      <c r="B23" s="46" t="s">
        <v>106</v>
      </c>
      <c r="E23" s="46">
        <v>21</v>
      </c>
      <c r="F23" s="46" t="s">
        <v>106</v>
      </c>
    </row>
    <row r="24" spans="1:6" ht="15.75" x14ac:dyDescent="0.25">
      <c r="A24" s="46">
        <v>22</v>
      </c>
      <c r="B24" s="46" t="s">
        <v>104</v>
      </c>
      <c r="E24" s="46">
        <v>22</v>
      </c>
      <c r="F24" s="46" t="s">
        <v>104</v>
      </c>
    </row>
    <row r="25" spans="1:6" ht="15.75" x14ac:dyDescent="0.25">
      <c r="A25" s="46">
        <v>23</v>
      </c>
      <c r="B25" s="46" t="s">
        <v>107</v>
      </c>
      <c r="E25" s="46">
        <v>23</v>
      </c>
      <c r="F25" s="47" t="s">
        <v>107</v>
      </c>
    </row>
    <row r="26" spans="1:6" ht="15.75" x14ac:dyDescent="0.25">
      <c r="A26" s="46">
        <v>24</v>
      </c>
      <c r="B26" s="46" t="s">
        <v>106</v>
      </c>
      <c r="E26" s="46">
        <v>24</v>
      </c>
      <c r="F26" s="46" t="s">
        <v>108</v>
      </c>
    </row>
    <row r="27" spans="1:6" ht="15.75" x14ac:dyDescent="0.25">
      <c r="A27" s="46">
        <v>25</v>
      </c>
      <c r="B27" s="46" t="s">
        <v>103</v>
      </c>
      <c r="E27" s="46">
        <v>25</v>
      </c>
      <c r="F27" s="46" t="s">
        <v>104</v>
      </c>
    </row>
    <row r="28" spans="1:6" ht="15.75" x14ac:dyDescent="0.25">
      <c r="A28" s="46">
        <v>26</v>
      </c>
      <c r="B28" s="46" t="s">
        <v>106</v>
      </c>
      <c r="E28" s="46">
        <v>26</v>
      </c>
      <c r="F28" s="46" t="s">
        <v>104</v>
      </c>
    </row>
    <row r="29" spans="1:6" ht="15.75" x14ac:dyDescent="0.25">
      <c r="A29" s="46">
        <v>27</v>
      </c>
      <c r="B29" s="46" t="s">
        <v>104</v>
      </c>
      <c r="E29" s="46">
        <v>27</v>
      </c>
      <c r="F29" s="46" t="s">
        <v>104</v>
      </c>
    </row>
    <row r="30" spans="1:6" ht="15.75" x14ac:dyDescent="0.25">
      <c r="A30" s="46">
        <v>28</v>
      </c>
      <c r="B30" s="47" t="s">
        <v>107</v>
      </c>
      <c r="E30" s="46">
        <v>28</v>
      </c>
      <c r="F30" s="46" t="s">
        <v>106</v>
      </c>
    </row>
    <row r="31" spans="1:6" ht="15.75" x14ac:dyDescent="0.25">
      <c r="A31" s="46">
        <v>29</v>
      </c>
      <c r="B31" s="46" t="s">
        <v>108</v>
      </c>
      <c r="E31" s="46">
        <v>29</v>
      </c>
      <c r="F31" s="47" t="s">
        <v>107</v>
      </c>
    </row>
    <row r="32" spans="1:6" ht="15.75" x14ac:dyDescent="0.25">
      <c r="A32" s="46">
        <v>30</v>
      </c>
      <c r="B32" s="46" t="s">
        <v>107</v>
      </c>
      <c r="E32" s="46">
        <v>30</v>
      </c>
      <c r="F32" s="46" t="s">
        <v>107</v>
      </c>
    </row>
    <row r="33" spans="1:6" ht="15.75" x14ac:dyDescent="0.25">
      <c r="A33" s="46">
        <v>31</v>
      </c>
      <c r="B33" s="46" t="s">
        <v>108</v>
      </c>
      <c r="E33" s="46">
        <v>31</v>
      </c>
      <c r="F33" s="46" t="s">
        <v>104</v>
      </c>
    </row>
    <row r="34" spans="1:6" ht="15.75" x14ac:dyDescent="0.25">
      <c r="A34" s="46">
        <v>32</v>
      </c>
      <c r="B34" s="46" t="s">
        <v>104</v>
      </c>
      <c r="E34" s="46">
        <v>32</v>
      </c>
      <c r="F34" s="46" t="s">
        <v>104</v>
      </c>
    </row>
    <row r="35" spans="1:6" ht="15.75" x14ac:dyDescent="0.25">
      <c r="A35" s="46">
        <v>33</v>
      </c>
      <c r="B35" s="46" t="s">
        <v>108</v>
      </c>
      <c r="E35" s="46">
        <v>33</v>
      </c>
      <c r="F35" s="46" t="s">
        <v>108</v>
      </c>
    </row>
    <row r="36" spans="1:6" ht="15.75" x14ac:dyDescent="0.25">
      <c r="A36" s="46">
        <v>34</v>
      </c>
      <c r="B36" s="46" t="s">
        <v>107</v>
      </c>
      <c r="E36" s="46">
        <v>34</v>
      </c>
      <c r="F36" s="46" t="s">
        <v>108</v>
      </c>
    </row>
    <row r="37" spans="1:6" ht="15.75" x14ac:dyDescent="0.25">
      <c r="A37" s="46">
        <v>35</v>
      </c>
      <c r="B37" s="46" t="s">
        <v>106</v>
      </c>
      <c r="E37" s="46">
        <v>35</v>
      </c>
      <c r="F37" s="46" t="s">
        <v>104</v>
      </c>
    </row>
    <row r="38" spans="1:6" ht="15.75" x14ac:dyDescent="0.25">
      <c r="A38" s="46">
        <v>36</v>
      </c>
      <c r="B38" s="46" t="s">
        <v>104</v>
      </c>
    </row>
    <row r="39" spans="1:6" ht="15.75" x14ac:dyDescent="0.25">
      <c r="A39" s="46">
        <v>37</v>
      </c>
      <c r="B39" s="46" t="s">
        <v>104</v>
      </c>
    </row>
    <row r="40" spans="1:6" ht="15.75" x14ac:dyDescent="0.25">
      <c r="A40" s="46">
        <v>38</v>
      </c>
      <c r="B40" s="46" t="s">
        <v>106</v>
      </c>
    </row>
    <row r="41" spans="1:6" ht="15.75" x14ac:dyDescent="0.25">
      <c r="A41" s="46">
        <v>39</v>
      </c>
      <c r="B41" s="46" t="s">
        <v>107</v>
      </c>
    </row>
    <row r="42" spans="1:6" ht="15.75" x14ac:dyDescent="0.25">
      <c r="A42" s="46">
        <v>40</v>
      </c>
      <c r="B42" s="47" t="s">
        <v>107</v>
      </c>
    </row>
    <row r="43" spans="1:6" ht="15.75" x14ac:dyDescent="0.25">
      <c r="A43" s="46">
        <v>41</v>
      </c>
      <c r="B43" s="46" t="s">
        <v>108</v>
      </c>
    </row>
    <row r="44" spans="1:6" ht="15.75" x14ac:dyDescent="0.25">
      <c r="A44" s="46">
        <v>42</v>
      </c>
      <c r="B44" s="46" t="s">
        <v>107</v>
      </c>
    </row>
    <row r="45" spans="1:6" ht="15.75" x14ac:dyDescent="0.25">
      <c r="A45" s="46">
        <v>43</v>
      </c>
      <c r="B45" s="46" t="s">
        <v>106</v>
      </c>
    </row>
    <row r="46" spans="1:6" ht="15.75" x14ac:dyDescent="0.25">
      <c r="A46" s="46">
        <v>44</v>
      </c>
      <c r="B46" s="46" t="s">
        <v>104</v>
      </c>
    </row>
    <row r="47" spans="1:6" ht="15.75" x14ac:dyDescent="0.25">
      <c r="A47" s="46">
        <v>45</v>
      </c>
      <c r="B47" s="46" t="s">
        <v>104</v>
      </c>
    </row>
    <row r="48" spans="1:6" ht="15.75" x14ac:dyDescent="0.25">
      <c r="A48" s="46">
        <v>46</v>
      </c>
      <c r="B48" s="46" t="s">
        <v>108</v>
      </c>
    </row>
    <row r="49" spans="1:2" ht="15.75" x14ac:dyDescent="0.25">
      <c r="A49" s="46">
        <v>47</v>
      </c>
      <c r="B49" s="46" t="s">
        <v>108</v>
      </c>
    </row>
    <row r="50" spans="1:2" ht="15.75" x14ac:dyDescent="0.25">
      <c r="A50" s="46">
        <v>48</v>
      </c>
      <c r="B50" s="46" t="s">
        <v>107</v>
      </c>
    </row>
    <row r="51" spans="1:2" ht="15.75" x14ac:dyDescent="0.25">
      <c r="A51" s="46">
        <v>49</v>
      </c>
      <c r="B51" s="46" t="s">
        <v>104</v>
      </c>
    </row>
    <row r="52" spans="1:2" ht="15.75" x14ac:dyDescent="0.25">
      <c r="A52" s="46">
        <v>50</v>
      </c>
      <c r="B52" s="46" t="s">
        <v>108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82E6-CD4D-4F3C-9DB4-A2EBB9825B90}">
  <dimension ref="A1:F50"/>
  <sheetViews>
    <sheetView workbookViewId="0">
      <selection activeCell="E10" sqref="E10:F12"/>
    </sheetView>
  </sheetViews>
  <sheetFormatPr defaultRowHeight="15" x14ac:dyDescent="0.25"/>
  <cols>
    <col min="1" max="1" width="42.42578125" bestFit="1" customWidth="1"/>
    <col min="2" max="3" width="8.85546875" bestFit="1" customWidth="1"/>
  </cols>
  <sheetData>
    <row r="1" spans="1:6" x14ac:dyDescent="0.25">
      <c r="A1" t="s">
        <v>165</v>
      </c>
    </row>
    <row r="2" spans="1:6" x14ac:dyDescent="0.25">
      <c r="A2" s="48" t="s">
        <v>118</v>
      </c>
      <c r="B2" s="48">
        <v>202503</v>
      </c>
      <c r="C2" s="48">
        <v>202403</v>
      </c>
    </row>
    <row r="3" spans="1:6" x14ac:dyDescent="0.25">
      <c r="A3" s="49" t="s">
        <v>119</v>
      </c>
      <c r="B3" s="50"/>
      <c r="C3" s="50"/>
    </row>
    <row r="4" spans="1:6" x14ac:dyDescent="0.25">
      <c r="A4" s="49" t="s">
        <v>120</v>
      </c>
      <c r="B4" s="51">
        <v>65382.87</v>
      </c>
      <c r="C4" s="51">
        <v>55894.17</v>
      </c>
    </row>
    <row r="5" spans="1:6" x14ac:dyDescent="0.25">
      <c r="A5" s="49" t="s">
        <v>121</v>
      </c>
      <c r="B5" s="51">
        <v>6024.82</v>
      </c>
      <c r="C5" s="51">
        <v>5105.34</v>
      </c>
    </row>
    <row r="6" spans="1:6" x14ac:dyDescent="0.25">
      <c r="A6" s="49" t="s">
        <v>122</v>
      </c>
      <c r="B6" s="51">
        <v>59358.05</v>
      </c>
      <c r="C6" s="51">
        <v>50788.83</v>
      </c>
    </row>
    <row r="7" spans="1:6" x14ac:dyDescent="0.25">
      <c r="A7" s="49" t="s">
        <v>123</v>
      </c>
      <c r="B7" s="49">
        <v>124.31</v>
      </c>
      <c r="C7" s="49">
        <v>146.44999999999999</v>
      </c>
    </row>
    <row r="8" spans="1:6" x14ac:dyDescent="0.25">
      <c r="A8" s="49" t="s">
        <v>124</v>
      </c>
      <c r="B8" s="51">
        <v>1117.06</v>
      </c>
      <c r="C8" s="49">
        <v>683.77</v>
      </c>
    </row>
    <row r="9" spans="1:6" x14ac:dyDescent="0.25">
      <c r="A9" s="52" t="s">
        <v>125</v>
      </c>
      <c r="B9" s="53">
        <v>60599.42</v>
      </c>
      <c r="C9" s="53">
        <v>51619.05</v>
      </c>
    </row>
    <row r="10" spans="1:6" x14ac:dyDescent="0.25">
      <c r="A10" s="49" t="s">
        <v>126</v>
      </c>
      <c r="B10" s="50"/>
      <c r="C10" s="50"/>
      <c r="E10" s="67"/>
      <c r="F10" s="67"/>
    </row>
    <row r="11" spans="1:6" x14ac:dyDescent="0.25">
      <c r="A11" s="71" t="s">
        <v>359</v>
      </c>
      <c r="B11" s="51">
        <v>51668.76</v>
      </c>
      <c r="C11" s="51">
        <v>43958.31</v>
      </c>
      <c r="E11" s="67"/>
    </row>
    <row r="12" spans="1:6" x14ac:dyDescent="0.25">
      <c r="A12" s="49" t="s">
        <v>127</v>
      </c>
      <c r="B12" s="49">
        <v>447.75</v>
      </c>
      <c r="C12" s="49">
        <v>376.59</v>
      </c>
      <c r="E12" s="67"/>
      <c r="F12" s="67"/>
    </row>
    <row r="13" spans="1:6" x14ac:dyDescent="0.25">
      <c r="A13" s="49" t="s">
        <v>128</v>
      </c>
      <c r="B13" s="51">
        <v>1165.9000000000001</v>
      </c>
      <c r="C13" s="49">
        <v>906.12</v>
      </c>
    </row>
    <row r="14" spans="1:6" x14ac:dyDescent="0.25">
      <c r="A14" s="49" t="s">
        <v>129</v>
      </c>
      <c r="B14" s="51">
        <v>1751.85</v>
      </c>
      <c r="C14" s="51">
        <v>1323.43</v>
      </c>
    </row>
    <row r="15" spans="1:6" x14ac:dyDescent="0.25">
      <c r="A15" s="49" t="s">
        <v>130</v>
      </c>
      <c r="B15" s="49">
        <v>314.05</v>
      </c>
      <c r="C15" s="49">
        <v>276.13</v>
      </c>
    </row>
    <row r="16" spans="1:6" x14ac:dyDescent="0.25">
      <c r="A16" s="49" t="s">
        <v>131</v>
      </c>
      <c r="B16" s="49">
        <v>639.47</v>
      </c>
      <c r="C16" s="49">
        <v>528.25</v>
      </c>
    </row>
    <row r="17" spans="1:3" x14ac:dyDescent="0.25">
      <c r="A17" s="49" t="s">
        <v>132</v>
      </c>
      <c r="B17" s="49">
        <v>0</v>
      </c>
      <c r="C17" s="49">
        <v>0</v>
      </c>
    </row>
    <row r="18" spans="1:3" x14ac:dyDescent="0.25">
      <c r="A18" s="52" t="s">
        <v>133</v>
      </c>
      <c r="B18" s="53">
        <v>55987.78</v>
      </c>
      <c r="C18" s="53">
        <v>47368.83</v>
      </c>
    </row>
    <row r="19" spans="1:3" x14ac:dyDescent="0.25">
      <c r="A19" s="52" t="s">
        <v>376</v>
      </c>
      <c r="B19" s="53">
        <v>4611.6400000000003</v>
      </c>
      <c r="C19" s="53">
        <v>4250.22</v>
      </c>
    </row>
    <row r="20" spans="1:3" x14ac:dyDescent="0.25">
      <c r="A20" s="49" t="s">
        <v>134</v>
      </c>
      <c r="B20" s="49">
        <v>69.45</v>
      </c>
      <c r="C20" s="49">
        <v>58.13</v>
      </c>
    </row>
    <row r="21" spans="1:3" x14ac:dyDescent="0.25">
      <c r="A21" s="49" t="s">
        <v>135</v>
      </c>
      <c r="B21" s="51">
        <v>4542.1899999999996</v>
      </c>
      <c r="C21" s="51">
        <v>4192.09</v>
      </c>
    </row>
    <row r="22" spans="1:3" x14ac:dyDescent="0.25">
      <c r="A22" s="49" t="s">
        <v>136</v>
      </c>
      <c r="B22" s="49">
        <v>869.52</v>
      </c>
      <c r="C22" s="49">
        <v>730.76</v>
      </c>
    </row>
    <row r="23" spans="1:3" x14ac:dyDescent="0.25">
      <c r="A23" s="49" t="s">
        <v>137</v>
      </c>
      <c r="B23" s="49">
        <v>0</v>
      </c>
      <c r="C23" s="49">
        <v>0</v>
      </c>
    </row>
    <row r="24" spans="1:3" x14ac:dyDescent="0.25">
      <c r="A24" s="49" t="s">
        <v>138</v>
      </c>
      <c r="B24" s="51">
        <v>3672.67</v>
      </c>
      <c r="C24" s="51">
        <v>3461.33</v>
      </c>
    </row>
    <row r="25" spans="1:3" x14ac:dyDescent="0.25">
      <c r="A25" s="49" t="s">
        <v>139</v>
      </c>
      <c r="B25" s="49">
        <v>947.46</v>
      </c>
      <c r="C25" s="49">
        <v>913.7</v>
      </c>
    </row>
    <row r="26" spans="1:3" x14ac:dyDescent="0.25">
      <c r="A26" s="49" t="s">
        <v>140</v>
      </c>
      <c r="B26" s="49">
        <v>0</v>
      </c>
      <c r="C26" s="49">
        <v>0</v>
      </c>
    </row>
    <row r="27" spans="1:3" x14ac:dyDescent="0.25">
      <c r="A27" s="49" t="s">
        <v>141</v>
      </c>
      <c r="B27" s="49">
        <v>17.760000000000002</v>
      </c>
      <c r="C27" s="49">
        <v>12.02</v>
      </c>
    </row>
    <row r="28" spans="1:3" x14ac:dyDescent="0.25">
      <c r="A28" s="52" t="s">
        <v>142</v>
      </c>
      <c r="B28" s="53">
        <v>2707.45</v>
      </c>
      <c r="C28" s="53">
        <v>2535.61</v>
      </c>
    </row>
    <row r="29" spans="1:3" x14ac:dyDescent="0.25">
      <c r="A29" s="49" t="s">
        <v>143</v>
      </c>
      <c r="B29" s="49">
        <v>-0.56999999999999995</v>
      </c>
      <c r="C29" s="49">
        <v>-0.56000000000000005</v>
      </c>
    </row>
    <row r="30" spans="1:3" x14ac:dyDescent="0.25">
      <c r="A30" s="49" t="s">
        <v>144</v>
      </c>
      <c r="B30" s="49">
        <v>0</v>
      </c>
      <c r="C30" s="49">
        <v>0</v>
      </c>
    </row>
    <row r="31" spans="1:3" x14ac:dyDescent="0.25">
      <c r="A31" s="49" t="s">
        <v>145</v>
      </c>
      <c r="B31" s="51">
        <v>2708.02</v>
      </c>
      <c r="C31" s="51">
        <v>2536.17</v>
      </c>
    </row>
    <row r="32" spans="1:3" x14ac:dyDescent="0.25">
      <c r="A32" s="49" t="s">
        <v>146</v>
      </c>
      <c r="B32" s="49">
        <v>10.61</v>
      </c>
      <c r="C32" s="49">
        <v>18.489999999999998</v>
      </c>
    </row>
    <row r="33" spans="1:3" x14ac:dyDescent="0.25">
      <c r="A33" s="52" t="s">
        <v>147</v>
      </c>
      <c r="B33" s="53">
        <v>2697.41</v>
      </c>
      <c r="C33" s="53">
        <v>2517.6799999999998</v>
      </c>
    </row>
    <row r="34" spans="1:3" x14ac:dyDescent="0.25">
      <c r="A34" s="49" t="s">
        <v>148</v>
      </c>
      <c r="B34" s="49">
        <v>-8.81</v>
      </c>
      <c r="C34" s="49">
        <v>-8.81</v>
      </c>
    </row>
    <row r="35" spans="1:3" x14ac:dyDescent="0.25">
      <c r="A35" s="49" t="s">
        <v>149</v>
      </c>
      <c r="B35" s="51">
        <v>11896.74</v>
      </c>
      <c r="C35" s="51">
        <v>9369.3700000000008</v>
      </c>
    </row>
    <row r="36" spans="1:3" x14ac:dyDescent="0.25">
      <c r="A36" s="49" t="s">
        <v>150</v>
      </c>
      <c r="B36" s="49">
        <v>0</v>
      </c>
      <c r="C36" s="49">
        <v>0</v>
      </c>
    </row>
    <row r="37" spans="1:3" x14ac:dyDescent="0.25">
      <c r="A37" s="49" t="s">
        <v>151</v>
      </c>
      <c r="B37" s="49">
        <v>0</v>
      </c>
      <c r="C37" s="49">
        <v>-0.01</v>
      </c>
    </row>
    <row r="38" spans="1:3" x14ac:dyDescent="0.25">
      <c r="A38" s="49" t="s">
        <v>152</v>
      </c>
      <c r="B38" s="51">
        <v>14595.95</v>
      </c>
      <c r="C38" s="51">
        <v>11896.74</v>
      </c>
    </row>
    <row r="39" spans="1:3" x14ac:dyDescent="0.25">
      <c r="A39" s="49" t="s">
        <v>153</v>
      </c>
      <c r="B39" s="49">
        <v>0</v>
      </c>
      <c r="C39" s="49">
        <v>0</v>
      </c>
    </row>
    <row r="40" spans="1:3" x14ac:dyDescent="0.25">
      <c r="A40" s="49" t="s">
        <v>154</v>
      </c>
      <c r="B40" s="49">
        <v>0</v>
      </c>
      <c r="C40" s="49">
        <v>0</v>
      </c>
    </row>
    <row r="41" spans="1:3" x14ac:dyDescent="0.25">
      <c r="A41" s="49" t="s">
        <v>155</v>
      </c>
      <c r="B41" s="49">
        <v>0</v>
      </c>
      <c r="C41" s="49">
        <v>0</v>
      </c>
    </row>
    <row r="42" spans="1:3" x14ac:dyDescent="0.25">
      <c r="A42" s="49" t="s">
        <v>156</v>
      </c>
      <c r="B42" s="49">
        <v>0</v>
      </c>
      <c r="C42" s="49">
        <v>0</v>
      </c>
    </row>
    <row r="43" spans="1:3" x14ac:dyDescent="0.25">
      <c r="A43" s="49" t="s">
        <v>157</v>
      </c>
      <c r="B43" s="49">
        <v>41.61</v>
      </c>
      <c r="C43" s="49">
        <v>38.97</v>
      </c>
    </row>
    <row r="44" spans="1:3" x14ac:dyDescent="0.25">
      <c r="A44" s="49" t="s">
        <v>158</v>
      </c>
      <c r="B44" s="49">
        <v>41.61</v>
      </c>
      <c r="C44" s="49">
        <v>38.97</v>
      </c>
    </row>
    <row r="45" spans="1:3" x14ac:dyDescent="0.25">
      <c r="A45" s="49" t="s">
        <v>159</v>
      </c>
      <c r="B45" s="49">
        <v>41.62</v>
      </c>
      <c r="C45" s="49">
        <v>38.97</v>
      </c>
    </row>
    <row r="46" spans="1:3" x14ac:dyDescent="0.25">
      <c r="A46" s="49" t="s">
        <v>160</v>
      </c>
      <c r="B46" s="49">
        <v>41.62</v>
      </c>
      <c r="C46" s="49">
        <v>38.97</v>
      </c>
    </row>
    <row r="47" spans="1:3" x14ac:dyDescent="0.25">
      <c r="A47" s="49" t="s">
        <v>161</v>
      </c>
      <c r="B47" s="49">
        <v>329.29</v>
      </c>
      <c r="C47" s="49">
        <v>287.33999999999997</v>
      </c>
    </row>
    <row r="48" spans="1:3" x14ac:dyDescent="0.25">
      <c r="A48" s="49" t="s">
        <v>162</v>
      </c>
      <c r="B48" s="49">
        <v>329.29</v>
      </c>
      <c r="C48" s="49">
        <v>287.33999999999997</v>
      </c>
    </row>
    <row r="49" spans="1:3" x14ac:dyDescent="0.25">
      <c r="A49" s="49" t="s">
        <v>163</v>
      </c>
      <c r="B49" s="49">
        <v>0</v>
      </c>
      <c r="C49" s="49">
        <v>0</v>
      </c>
    </row>
    <row r="50" spans="1:3" x14ac:dyDescent="0.25">
      <c r="A50" s="54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D297-2BE3-4B6A-8DFC-9B22916B73C3}">
  <dimension ref="A1:I92"/>
  <sheetViews>
    <sheetView topLeftCell="B1" workbookViewId="0">
      <selection activeCell="I5" sqref="I5"/>
    </sheetView>
  </sheetViews>
  <sheetFormatPr defaultRowHeight="15" x14ac:dyDescent="0.25"/>
  <cols>
    <col min="1" max="1" width="42.42578125" bestFit="1" customWidth="1"/>
    <col min="2" max="2" width="16.7109375" customWidth="1"/>
    <col min="3" max="3" width="17.42578125" customWidth="1"/>
    <col min="6" max="6" width="26.140625" bestFit="1" customWidth="1"/>
    <col min="7" max="7" width="27.5703125" customWidth="1"/>
  </cols>
  <sheetData>
    <row r="1" spans="1:9" x14ac:dyDescent="0.25">
      <c r="A1" t="s">
        <v>165</v>
      </c>
    </row>
    <row r="2" spans="1:9" x14ac:dyDescent="0.25">
      <c r="A2" s="48" t="s">
        <v>118</v>
      </c>
      <c r="B2" s="48">
        <v>202503</v>
      </c>
      <c r="C2" s="48">
        <v>202403</v>
      </c>
    </row>
    <row r="3" spans="1:9" x14ac:dyDescent="0.25">
      <c r="A3" s="52" t="s">
        <v>166</v>
      </c>
      <c r="B3" s="55"/>
      <c r="C3" s="55"/>
      <c r="F3" s="57" t="s">
        <v>247</v>
      </c>
      <c r="G3" s="57" t="s">
        <v>281</v>
      </c>
      <c r="H3" s="77">
        <v>2025</v>
      </c>
      <c r="I3" s="77">
        <v>2024</v>
      </c>
    </row>
    <row r="4" spans="1:9" x14ac:dyDescent="0.25">
      <c r="A4" s="56" t="s">
        <v>167</v>
      </c>
      <c r="B4" s="51">
        <v>17298.16</v>
      </c>
      <c r="C4" s="51">
        <v>14342.13</v>
      </c>
      <c r="F4" s="59"/>
      <c r="G4" s="60"/>
      <c r="H4" s="106"/>
      <c r="I4" s="106"/>
    </row>
    <row r="5" spans="1:9" x14ac:dyDescent="0.25">
      <c r="A5" s="49" t="s">
        <v>168</v>
      </c>
      <c r="B5" s="51">
        <v>14349.83</v>
      </c>
      <c r="C5" s="51">
        <v>11759.19</v>
      </c>
      <c r="F5" s="59" t="s">
        <v>248</v>
      </c>
      <c r="G5" s="59" t="s">
        <v>332</v>
      </c>
      <c r="H5" s="107">
        <f>B40/B85</f>
        <v>2.8895739910313902</v>
      </c>
      <c r="I5" s="107">
        <f>C40/C85</f>
        <v>3.1336994856351748</v>
      </c>
    </row>
    <row r="6" spans="1:9" x14ac:dyDescent="0.25">
      <c r="A6" s="49" t="s">
        <v>169</v>
      </c>
      <c r="B6" s="51">
        <v>1099.3499999999999</v>
      </c>
      <c r="C6" s="49">
        <v>935.22</v>
      </c>
      <c r="F6" s="59" t="s">
        <v>249</v>
      </c>
      <c r="G6" s="59" t="s">
        <v>360</v>
      </c>
      <c r="H6" s="107">
        <f>(B40-B27)/B85</f>
        <v>0.60928233039201507</v>
      </c>
      <c r="I6" s="107">
        <f>(C40-C27)/C85</f>
        <v>1.149347696474226</v>
      </c>
    </row>
    <row r="7" spans="1:9" x14ac:dyDescent="0.25">
      <c r="A7" s="49" t="s">
        <v>170</v>
      </c>
      <c r="B7" s="51">
        <v>1741.73</v>
      </c>
      <c r="C7" s="51">
        <v>1539.1</v>
      </c>
      <c r="F7" s="59" t="s">
        <v>250</v>
      </c>
      <c r="G7" s="59" t="s">
        <v>361</v>
      </c>
      <c r="H7" s="107">
        <f>(B32+B33)/B85</f>
        <v>0.1619231881961522</v>
      </c>
      <c r="I7" s="107">
        <f>(C32+C33)/C85</f>
        <v>0.32245318673767398</v>
      </c>
    </row>
    <row r="8" spans="1:9" x14ac:dyDescent="0.25">
      <c r="A8" s="49" t="s">
        <v>171</v>
      </c>
      <c r="B8" s="49">
        <v>107.25</v>
      </c>
      <c r="C8" s="49">
        <v>108.62</v>
      </c>
      <c r="H8" s="108"/>
      <c r="I8" s="108"/>
    </row>
    <row r="9" spans="1:9" x14ac:dyDescent="0.25">
      <c r="A9" s="49" t="s">
        <v>172</v>
      </c>
      <c r="B9" s="49">
        <v>0</v>
      </c>
      <c r="C9" s="49">
        <v>0</v>
      </c>
      <c r="H9" s="108"/>
      <c r="I9" s="108"/>
    </row>
    <row r="10" spans="1:9" x14ac:dyDescent="0.25">
      <c r="A10" s="49" t="s">
        <v>173</v>
      </c>
      <c r="B10" s="49">
        <v>0</v>
      </c>
      <c r="C10" s="49">
        <v>0</v>
      </c>
      <c r="F10" s="57" t="s">
        <v>251</v>
      </c>
      <c r="G10" s="57"/>
      <c r="H10" s="109">
        <v>2025</v>
      </c>
      <c r="I10" s="109">
        <v>2024</v>
      </c>
    </row>
    <row r="11" spans="1:9" x14ac:dyDescent="0.25">
      <c r="A11" s="49" t="s">
        <v>174</v>
      </c>
      <c r="B11" s="49">
        <v>0</v>
      </c>
      <c r="C11" s="49">
        <v>0</v>
      </c>
      <c r="F11" s="59"/>
      <c r="G11" s="60"/>
      <c r="H11" s="106"/>
      <c r="I11" s="106"/>
    </row>
    <row r="12" spans="1:9" x14ac:dyDescent="0.25">
      <c r="A12" s="49" t="s">
        <v>175</v>
      </c>
      <c r="B12" s="49">
        <v>0</v>
      </c>
      <c r="C12" s="49">
        <v>0</v>
      </c>
      <c r="F12" s="59" t="s">
        <v>252</v>
      </c>
      <c r="G12" s="60" t="s">
        <v>362</v>
      </c>
      <c r="H12" s="107">
        <f>B74/B64</f>
        <v>3.1802844115052714E-2</v>
      </c>
      <c r="I12" s="107">
        <f>C74/C64</f>
        <v>2.6780279975654291E-2</v>
      </c>
    </row>
    <row r="13" spans="1:9" x14ac:dyDescent="0.25">
      <c r="A13" s="49" t="s">
        <v>176</v>
      </c>
      <c r="B13" s="50"/>
      <c r="C13" s="50"/>
      <c r="F13" s="59" t="s">
        <v>253</v>
      </c>
      <c r="G13" s="60" t="s">
        <v>363</v>
      </c>
      <c r="H13" s="107">
        <f>(B46-B64)/B46</f>
        <v>0.11897843323414319</v>
      </c>
      <c r="I13" s="107">
        <f>(C46-C64)/C46</f>
        <v>0.11710046653948589</v>
      </c>
    </row>
    <row r="14" spans="1:9" x14ac:dyDescent="0.25">
      <c r="A14" s="49" t="s">
        <v>177</v>
      </c>
      <c r="B14" s="49">
        <v>7.65</v>
      </c>
      <c r="C14" s="49">
        <v>8.09</v>
      </c>
      <c r="F14" s="59" t="s">
        <v>254</v>
      </c>
      <c r="G14" s="60" t="s">
        <v>364</v>
      </c>
      <c r="H14" s="107">
        <f>B46/B64</f>
        <v>1.1350459940168107</v>
      </c>
      <c r="I14" s="107">
        <f>C46/C64</f>
        <v>1.1326317005520572</v>
      </c>
    </row>
    <row r="15" spans="1:9" ht="26.25" x14ac:dyDescent="0.25">
      <c r="A15" s="49" t="s">
        <v>178</v>
      </c>
      <c r="B15" s="49">
        <v>0</v>
      </c>
      <c r="C15" s="49">
        <v>0</v>
      </c>
      <c r="H15" s="108"/>
      <c r="I15" s="108"/>
    </row>
    <row r="16" spans="1:9" x14ac:dyDescent="0.25">
      <c r="A16" s="56" t="s">
        <v>179</v>
      </c>
      <c r="B16" s="50"/>
      <c r="C16" s="50"/>
      <c r="F16" s="58" t="s">
        <v>255</v>
      </c>
      <c r="G16" s="58"/>
      <c r="H16" s="109">
        <v>2025</v>
      </c>
      <c r="I16" s="109">
        <v>2024</v>
      </c>
    </row>
    <row r="17" spans="1:9" x14ac:dyDescent="0.25">
      <c r="A17" s="49" t="s">
        <v>180</v>
      </c>
      <c r="B17" s="49">
        <v>0</v>
      </c>
      <c r="C17" s="49">
        <v>0</v>
      </c>
      <c r="F17" s="59"/>
      <c r="G17" s="60"/>
      <c r="H17" s="106"/>
      <c r="I17" s="106"/>
    </row>
    <row r="18" spans="1:9" x14ac:dyDescent="0.25">
      <c r="A18" s="49" t="s">
        <v>181</v>
      </c>
      <c r="B18" s="49">
        <v>2.0099999999999998</v>
      </c>
      <c r="C18" s="49">
        <v>0.01</v>
      </c>
      <c r="F18" s="59" t="s">
        <v>256</v>
      </c>
      <c r="G18" s="60" t="s">
        <v>365</v>
      </c>
      <c r="H18" s="107">
        <f>'Avenue Supmrt_PL'!B11/'Avenue Supmrt_BS'!B27</f>
        <v>10.242856887976101</v>
      </c>
      <c r="I18" s="107">
        <f>'Avenue Supmrt_PL'!C11/'Avenue Supmrt_BS'!C27</f>
        <v>11.1929819647545</v>
      </c>
    </row>
    <row r="19" spans="1:9" x14ac:dyDescent="0.25">
      <c r="A19" s="49" t="s">
        <v>182</v>
      </c>
      <c r="B19" s="49">
        <v>0</v>
      </c>
      <c r="C19" s="49">
        <v>0</v>
      </c>
      <c r="F19" s="59" t="s">
        <v>257</v>
      </c>
      <c r="G19" s="78" t="s">
        <v>394</v>
      </c>
      <c r="H19" s="107">
        <f>'Avenue Supmrt_PL'!B6/'Avenue Supmrt_BS'!B31</f>
        <v>385.96820339423891</v>
      </c>
      <c r="I19" s="107">
        <f>'Avenue Supmrt_PL'!C9/'Avenue Supmrt_BS'!C31</f>
        <v>310.26657450261467</v>
      </c>
    </row>
    <row r="20" spans="1:9" x14ac:dyDescent="0.25">
      <c r="A20" s="49" t="s">
        <v>183</v>
      </c>
      <c r="B20" s="49">
        <v>168.12</v>
      </c>
      <c r="C20" s="49">
        <v>234.76</v>
      </c>
      <c r="F20" s="59" t="s">
        <v>258</v>
      </c>
      <c r="G20" s="60" t="s">
        <v>377</v>
      </c>
      <c r="H20" s="107">
        <f>'Avenue Supmrt_PL'!B6/'Avenue Supmrt_BS'!B46</f>
        <v>2.4406801892576118</v>
      </c>
      <c r="I20" s="107">
        <f>'Avenue Supmrt_PL'!C6/'Avenue Supmrt_BS'!C46</f>
        <v>2.3982788092854581</v>
      </c>
    </row>
    <row r="21" spans="1:9" x14ac:dyDescent="0.25">
      <c r="A21" s="49" t="s">
        <v>184</v>
      </c>
      <c r="B21" s="49">
        <v>18.190000000000001</v>
      </c>
      <c r="C21" s="49">
        <v>17.559999999999999</v>
      </c>
      <c r="F21" s="59" t="s">
        <v>259</v>
      </c>
      <c r="G21" s="60" t="s">
        <v>366</v>
      </c>
      <c r="H21" s="107">
        <f>'Avenue Supmrt_PL'!B11/B78</f>
        <v>48.252033507344912</v>
      </c>
      <c r="I21" s="107">
        <f>'Avenue Supmrt_PL'!C11/C78</f>
        <v>44.636335942973773</v>
      </c>
    </row>
    <row r="22" spans="1:9" x14ac:dyDescent="0.25">
      <c r="A22" s="49" t="s">
        <v>185</v>
      </c>
      <c r="B22" s="49">
        <v>0</v>
      </c>
      <c r="C22" s="49">
        <v>0</v>
      </c>
      <c r="H22" s="108"/>
      <c r="I22" s="108"/>
    </row>
    <row r="23" spans="1:9" x14ac:dyDescent="0.25">
      <c r="A23" s="49" t="s">
        <v>186</v>
      </c>
      <c r="B23" s="49">
        <v>426.45</v>
      </c>
      <c r="C23" s="49">
        <v>367.9</v>
      </c>
      <c r="F23" s="59" t="s">
        <v>260</v>
      </c>
      <c r="G23" s="60" t="s">
        <v>317</v>
      </c>
      <c r="H23" s="107">
        <f t="shared" ref="H23:I24" si="0">365/H18</f>
        <v>35.634589450182276</v>
      </c>
      <c r="I23" s="107">
        <f t="shared" si="0"/>
        <v>32.609719299945795</v>
      </c>
    </row>
    <row r="24" spans="1:9" x14ac:dyDescent="0.25">
      <c r="A24" s="49" t="s">
        <v>187</v>
      </c>
      <c r="B24" s="49">
        <v>7.51</v>
      </c>
      <c r="C24" s="49">
        <v>4.72</v>
      </c>
      <c r="F24" s="59" t="s">
        <v>261</v>
      </c>
      <c r="G24" s="60" t="s">
        <v>367</v>
      </c>
      <c r="H24" s="107">
        <f t="shared" si="0"/>
        <v>0.94567375444442658</v>
      </c>
      <c r="I24" s="107">
        <f t="shared" si="0"/>
        <v>1.1764077409406022</v>
      </c>
    </row>
    <row r="25" spans="1:9" x14ac:dyDescent="0.25">
      <c r="A25" s="56" t="s">
        <v>188</v>
      </c>
      <c r="B25" s="51">
        <v>17928.09</v>
      </c>
      <c r="C25" s="51">
        <v>14975.17</v>
      </c>
      <c r="F25" s="59" t="s">
        <v>262</v>
      </c>
      <c r="G25" s="60" t="s">
        <v>368</v>
      </c>
      <c r="H25" s="107">
        <f t="shared" ref="H25:I25" si="1">365/H21</f>
        <v>7.5644480339764293</v>
      </c>
      <c r="I25" s="107">
        <f t="shared" si="1"/>
        <v>8.1771944826814309</v>
      </c>
    </row>
    <row r="26" spans="1:9" x14ac:dyDescent="0.25">
      <c r="A26" s="52" t="s">
        <v>189</v>
      </c>
      <c r="B26" s="55"/>
      <c r="C26" s="55"/>
      <c r="F26" s="59"/>
      <c r="G26" s="60"/>
      <c r="H26" s="107"/>
      <c r="I26" s="107"/>
    </row>
    <row r="27" spans="1:9" x14ac:dyDescent="0.25">
      <c r="A27" s="49" t="s">
        <v>190</v>
      </c>
      <c r="B27" s="51">
        <v>5044.37</v>
      </c>
      <c r="C27" s="51">
        <v>3927.31</v>
      </c>
      <c r="F27" s="59" t="s">
        <v>263</v>
      </c>
      <c r="G27" s="60" t="s">
        <v>369</v>
      </c>
      <c r="H27" s="107">
        <f>H23+H24</f>
        <v>36.580263204626704</v>
      </c>
      <c r="I27" s="107">
        <f t="shared" ref="I27" si="2">I23+I24</f>
        <v>33.786127040886399</v>
      </c>
    </row>
    <row r="28" spans="1:9" x14ac:dyDescent="0.25">
      <c r="A28" s="49" t="s">
        <v>175</v>
      </c>
      <c r="B28" s="49">
        <v>0</v>
      </c>
      <c r="C28" s="49">
        <v>0</v>
      </c>
      <c r="F28" s="59" t="s">
        <v>264</v>
      </c>
      <c r="G28" s="60" t="s">
        <v>370</v>
      </c>
      <c r="H28" s="107">
        <f>H23+H24-H25</f>
        <v>29.015815170650274</v>
      </c>
      <c r="I28" s="107">
        <f>I23+I24-I25</f>
        <v>25.60893255820497</v>
      </c>
    </row>
    <row r="29" spans="1:9" x14ac:dyDescent="0.25">
      <c r="A29" s="49" t="s">
        <v>179</v>
      </c>
      <c r="B29" s="50"/>
      <c r="C29" s="50"/>
      <c r="H29" s="108"/>
      <c r="I29" s="108"/>
    </row>
    <row r="30" spans="1:9" x14ac:dyDescent="0.25">
      <c r="A30" s="49" t="s">
        <v>191</v>
      </c>
      <c r="B30" s="49">
        <v>1.25</v>
      </c>
      <c r="C30" s="49">
        <v>106.66</v>
      </c>
      <c r="H30" s="108"/>
      <c r="I30" s="108"/>
    </row>
    <row r="31" spans="1:9" x14ac:dyDescent="0.25">
      <c r="A31" s="49" t="s">
        <v>192</v>
      </c>
      <c r="B31" s="49">
        <v>153.79</v>
      </c>
      <c r="C31" s="49">
        <v>166.37</v>
      </c>
      <c r="F31" s="58" t="s">
        <v>265</v>
      </c>
      <c r="G31" s="58"/>
      <c r="H31" s="109">
        <v>2025</v>
      </c>
      <c r="I31" s="109">
        <v>2024</v>
      </c>
    </row>
    <row r="32" spans="1:9" x14ac:dyDescent="0.25">
      <c r="A32" s="49" t="s">
        <v>193</v>
      </c>
      <c r="B32" s="49">
        <v>355.48</v>
      </c>
      <c r="C32" s="49">
        <v>337.12</v>
      </c>
      <c r="F32" s="59"/>
      <c r="G32" s="60"/>
      <c r="H32" s="106"/>
      <c r="I32" s="106"/>
    </row>
    <row r="33" spans="1:9" ht="26.25" x14ac:dyDescent="0.25">
      <c r="A33" s="49" t="s">
        <v>194</v>
      </c>
      <c r="B33" s="49">
        <v>2.72</v>
      </c>
      <c r="C33" s="49">
        <v>301.06</v>
      </c>
      <c r="F33" s="59" t="s">
        <v>266</v>
      </c>
      <c r="G33" s="60" t="s">
        <v>371</v>
      </c>
      <c r="H33" s="107">
        <f>'Avenue Supmrt_PL'!B19/'Avenue Supmrt_PL'!B20</f>
        <v>66.402303815694751</v>
      </c>
      <c r="I33" s="107">
        <f>'Avenue Supmrt_PL'!C19/'Avenue Supmrt_PL'!C20</f>
        <v>73.115774987097879</v>
      </c>
    </row>
    <row r="34" spans="1:9" x14ac:dyDescent="0.25">
      <c r="A34" s="49" t="s">
        <v>195</v>
      </c>
      <c r="B34" s="49">
        <v>0</v>
      </c>
      <c r="C34" s="49">
        <v>0</v>
      </c>
      <c r="F34" s="59" t="s">
        <v>267</v>
      </c>
      <c r="G34" s="60" t="s">
        <v>372</v>
      </c>
      <c r="H34" s="107">
        <f>('Avenue Supmrt_PL'!B19+'Avenue Supmrt_PL'!B22)/'Avenue Supmrt_PL'!B20</f>
        <v>78.922390208783298</v>
      </c>
      <c r="I34" s="107">
        <f>('Avenue Supmrt_PL'!C19+'Avenue Supmrt_PL'!C22)/'Avenue Supmrt_PL'!C20</f>
        <v>85.686908653019103</v>
      </c>
    </row>
    <row r="35" spans="1:9" x14ac:dyDescent="0.25">
      <c r="A35" s="49" t="s">
        <v>196</v>
      </c>
      <c r="B35" s="49">
        <v>528.36</v>
      </c>
      <c r="C35" s="51">
        <v>1128.49</v>
      </c>
      <c r="H35" s="108"/>
      <c r="I35" s="108"/>
    </row>
    <row r="36" spans="1:9" x14ac:dyDescent="0.25">
      <c r="A36" s="49" t="s">
        <v>197</v>
      </c>
      <c r="B36" s="49">
        <v>0</v>
      </c>
      <c r="C36" s="49">
        <v>0</v>
      </c>
      <c r="H36" s="108"/>
      <c r="I36" s="108"/>
    </row>
    <row r="37" spans="1:9" x14ac:dyDescent="0.25">
      <c r="A37" s="49" t="s">
        <v>185</v>
      </c>
      <c r="B37" s="49">
        <v>0</v>
      </c>
      <c r="C37" s="49">
        <v>0</v>
      </c>
      <c r="H37" s="108"/>
      <c r="I37" s="108"/>
    </row>
    <row r="38" spans="1:9" x14ac:dyDescent="0.25">
      <c r="A38" s="49" t="s">
        <v>198</v>
      </c>
      <c r="B38" s="49">
        <v>306.23</v>
      </c>
      <c r="C38" s="49">
        <v>235.02</v>
      </c>
      <c r="F38" s="58" t="s">
        <v>268</v>
      </c>
      <c r="G38" s="58"/>
      <c r="H38" s="109">
        <v>2025</v>
      </c>
      <c r="I38" s="109">
        <v>2024</v>
      </c>
    </row>
    <row r="39" spans="1:9" x14ac:dyDescent="0.25">
      <c r="A39" s="49" t="s">
        <v>199</v>
      </c>
      <c r="B39" s="49">
        <v>0</v>
      </c>
      <c r="C39" s="49">
        <v>0</v>
      </c>
      <c r="F39" s="59"/>
      <c r="G39" s="60"/>
      <c r="H39" s="106"/>
      <c r="I39" s="106"/>
    </row>
    <row r="40" spans="1:9" x14ac:dyDescent="0.25">
      <c r="A40" s="56" t="s">
        <v>200</v>
      </c>
      <c r="B40" s="51">
        <v>6392.2</v>
      </c>
      <c r="C40" s="51">
        <v>6202.03</v>
      </c>
      <c r="F40" s="59" t="s">
        <v>269</v>
      </c>
      <c r="G40" s="60" t="s">
        <v>374</v>
      </c>
      <c r="H40" s="107">
        <f>'Avenue Supmrt_PL'!B33/'Avenue Supmrt_PL'!B6</f>
        <v>4.5443035948788742E-2</v>
      </c>
      <c r="I40" s="107">
        <f>'Avenue Supmrt_PL'!C33/'Avenue Supmrt_PL'!C6</f>
        <v>4.9571529802911386E-2</v>
      </c>
    </row>
    <row r="41" spans="1:9" x14ac:dyDescent="0.25">
      <c r="A41" s="50"/>
      <c r="B41" s="50"/>
      <c r="C41" s="50"/>
      <c r="F41" s="59" t="s">
        <v>270</v>
      </c>
      <c r="G41" s="60" t="s">
        <v>373</v>
      </c>
      <c r="H41" s="107">
        <f>'Avenue Supmrt_PL'!B19/'Avenue Supmrt_PL'!B6</f>
        <v>7.7691905310231721E-2</v>
      </c>
      <c r="I41" s="107">
        <f>'Avenue Supmrt_PL'!C19/'Avenue Supmrt_PL'!C6</f>
        <v>8.368414866024676E-2</v>
      </c>
    </row>
    <row r="42" spans="1:9" ht="26.25" x14ac:dyDescent="0.25">
      <c r="A42" s="49" t="s">
        <v>201</v>
      </c>
      <c r="B42" s="49">
        <v>0</v>
      </c>
      <c r="C42" s="49">
        <v>0</v>
      </c>
      <c r="F42" s="59" t="s">
        <v>271</v>
      </c>
      <c r="G42" s="60" t="s">
        <v>298</v>
      </c>
      <c r="H42" s="107">
        <f>'Avenue Supmrt_PL'!B28/'Avenue Supmrt_BS'!B46</f>
        <v>0.11132474160464369</v>
      </c>
      <c r="I42" s="107">
        <f>'Avenue Supmrt_PL'!C28/'Avenue Supmrt_BS'!C46</f>
        <v>0.11973301475171411</v>
      </c>
    </row>
    <row r="43" spans="1:9" x14ac:dyDescent="0.25">
      <c r="A43" s="49" t="s">
        <v>202</v>
      </c>
      <c r="B43" s="49">
        <v>0</v>
      </c>
      <c r="C43" s="49">
        <v>0</v>
      </c>
      <c r="F43" s="59" t="s">
        <v>272</v>
      </c>
      <c r="G43" s="60" t="s">
        <v>375</v>
      </c>
      <c r="H43" s="110">
        <f>'Avenue Supmrt_PL'!B28/'Avenue Supmrt_BS'!B64</f>
        <v>0.1263587019933074</v>
      </c>
      <c r="I43" s="111">
        <f>'Avenue Supmrt_PL'!C28/'Avenue Supmrt_BS'!C64</f>
        <v>0.13561340811045849</v>
      </c>
    </row>
    <row r="44" spans="1:9" x14ac:dyDescent="0.25">
      <c r="A44" s="49" t="s">
        <v>203</v>
      </c>
      <c r="B44" s="49">
        <v>0</v>
      </c>
      <c r="C44" s="49">
        <v>0</v>
      </c>
      <c r="F44" s="59" t="s">
        <v>273</v>
      </c>
      <c r="G44" s="60" t="s">
        <v>333</v>
      </c>
      <c r="H44" s="107">
        <f>'Avenue Supmrt_PL'!B19/('Avenue Supmrt_BS'!B46-'Avenue Supmrt_BS'!B85)</f>
        <v>0.20859475677047312</v>
      </c>
      <c r="I44" s="107">
        <f>'Avenue Supmrt_PL'!C19/('Avenue Supmrt_BS'!C46-'Avenue Supmrt_BS'!C85)</f>
        <v>0.22138799441193538</v>
      </c>
    </row>
    <row r="45" spans="1:9" x14ac:dyDescent="0.25">
      <c r="A45" s="49" t="s">
        <v>204</v>
      </c>
      <c r="B45" s="51">
        <v>17928.09</v>
      </c>
      <c r="C45" s="51">
        <v>14975.17</v>
      </c>
      <c r="H45" s="108"/>
      <c r="I45" s="108"/>
    </row>
    <row r="46" spans="1:9" ht="18.75" x14ac:dyDescent="0.3">
      <c r="A46" s="56" t="s">
        <v>205</v>
      </c>
      <c r="B46" s="51">
        <v>24320.29</v>
      </c>
      <c r="C46" s="51">
        <v>21177.200000000001</v>
      </c>
      <c r="F46" s="61" t="s">
        <v>274</v>
      </c>
      <c r="H46" s="108"/>
      <c r="I46" s="108"/>
    </row>
    <row r="47" spans="1:9" x14ac:dyDescent="0.25">
      <c r="A47" s="52" t="s">
        <v>22</v>
      </c>
      <c r="B47" s="55"/>
      <c r="C47" s="55"/>
      <c r="F47" s="62" t="s">
        <v>275</v>
      </c>
      <c r="G47" s="63" t="s">
        <v>278</v>
      </c>
      <c r="H47" s="112" t="s">
        <v>276</v>
      </c>
      <c r="I47" s="113" t="s">
        <v>277</v>
      </c>
    </row>
    <row r="48" spans="1:9" x14ac:dyDescent="0.25">
      <c r="A48" s="50"/>
      <c r="B48" s="50"/>
      <c r="C48" s="50"/>
      <c r="F48" s="64" t="s">
        <v>269</v>
      </c>
      <c r="G48" s="65"/>
      <c r="H48" s="114">
        <v>4.5443035948788742E-2</v>
      </c>
      <c r="I48" s="115">
        <v>4.9571529802911386E-2</v>
      </c>
    </row>
    <row r="49" spans="1:9" x14ac:dyDescent="0.25">
      <c r="A49" s="49" t="s">
        <v>206</v>
      </c>
      <c r="B49" s="49">
        <v>650.73</v>
      </c>
      <c r="C49" s="49">
        <v>650.73</v>
      </c>
      <c r="F49" s="64" t="s">
        <v>258</v>
      </c>
      <c r="G49" s="65"/>
      <c r="H49" s="114">
        <v>2.4406801892576118</v>
      </c>
      <c r="I49" s="115">
        <v>2.3982788092854581</v>
      </c>
    </row>
    <row r="50" spans="1:9" ht="26.25" x14ac:dyDescent="0.25">
      <c r="A50" s="49" t="s">
        <v>207</v>
      </c>
      <c r="B50" s="49">
        <v>0</v>
      </c>
      <c r="C50" s="49">
        <v>0</v>
      </c>
      <c r="F50" s="73" t="s">
        <v>254</v>
      </c>
      <c r="G50" s="65"/>
      <c r="H50" s="114">
        <v>1.1350459940168107</v>
      </c>
      <c r="I50" s="115">
        <v>1.1326317005520572</v>
      </c>
    </row>
    <row r="51" spans="1:9" ht="27" thickBot="1" x14ac:dyDescent="0.3">
      <c r="A51" s="49" t="s">
        <v>208</v>
      </c>
      <c r="B51" s="49">
        <v>0</v>
      </c>
      <c r="C51" s="49">
        <v>0</v>
      </c>
      <c r="F51" s="66" t="s">
        <v>274</v>
      </c>
      <c r="G51" s="72" t="s">
        <v>378</v>
      </c>
      <c r="H51" s="116">
        <f>H48*H49*H50</f>
        <v>0.1258901277378224</v>
      </c>
      <c r="I51" s="116">
        <f>I48*I49*I50</f>
        <v>0.13465444817284172</v>
      </c>
    </row>
    <row r="52" spans="1:9" ht="15.75" thickTop="1" x14ac:dyDescent="0.25">
      <c r="A52" s="49" t="s">
        <v>209</v>
      </c>
      <c r="B52" s="49">
        <v>65.069999999999993</v>
      </c>
      <c r="C52" s="49">
        <v>65.069999999999993</v>
      </c>
      <c r="H52" s="108"/>
      <c r="I52" s="108"/>
    </row>
    <row r="53" spans="1:9" x14ac:dyDescent="0.25">
      <c r="A53" s="49" t="s">
        <v>210</v>
      </c>
      <c r="B53" s="49">
        <v>650.73</v>
      </c>
      <c r="C53" s="49">
        <v>650.73</v>
      </c>
      <c r="H53" s="108"/>
      <c r="I53" s="108"/>
    </row>
    <row r="54" spans="1:9" x14ac:dyDescent="0.25">
      <c r="A54" s="49" t="s">
        <v>211</v>
      </c>
      <c r="B54" s="49">
        <v>0</v>
      </c>
      <c r="C54" s="49">
        <v>0</v>
      </c>
      <c r="H54" s="108"/>
      <c r="I54" s="108"/>
    </row>
    <row r="55" spans="1:9" ht="26.25" x14ac:dyDescent="0.25">
      <c r="A55" s="49" t="s">
        <v>212</v>
      </c>
      <c r="B55" s="49">
        <v>0</v>
      </c>
      <c r="C55" s="49">
        <v>0</v>
      </c>
      <c r="H55" s="108"/>
      <c r="I55" s="108"/>
    </row>
    <row r="56" spans="1:9" ht="26.25" x14ac:dyDescent="0.25">
      <c r="A56" s="49" t="s">
        <v>213</v>
      </c>
      <c r="B56" s="49">
        <v>0</v>
      </c>
      <c r="C56" s="49">
        <v>0</v>
      </c>
      <c r="H56" s="108"/>
      <c r="I56" s="108"/>
    </row>
    <row r="57" spans="1:9" x14ac:dyDescent="0.25">
      <c r="A57" s="49" t="s">
        <v>214</v>
      </c>
      <c r="B57" s="51">
        <v>20777.02</v>
      </c>
      <c r="C57" s="51">
        <v>18047.09</v>
      </c>
      <c r="H57" s="108"/>
      <c r="I57" s="108"/>
    </row>
    <row r="58" spans="1:9" x14ac:dyDescent="0.25">
      <c r="A58" s="49" t="s">
        <v>215</v>
      </c>
      <c r="B58" s="49">
        <v>0</v>
      </c>
      <c r="C58" s="49">
        <v>0</v>
      </c>
    </row>
    <row r="59" spans="1:9" x14ac:dyDescent="0.25">
      <c r="A59" s="49" t="s">
        <v>216</v>
      </c>
      <c r="B59" s="49">
        <v>0</v>
      </c>
      <c r="C59" s="49">
        <v>0</v>
      </c>
    </row>
    <row r="60" spans="1:9" x14ac:dyDescent="0.25">
      <c r="A60" s="49" t="s">
        <v>217</v>
      </c>
      <c r="B60" s="49">
        <v>0</v>
      </c>
      <c r="C60" s="49">
        <v>0</v>
      </c>
    </row>
    <row r="61" spans="1:9" x14ac:dyDescent="0.25">
      <c r="A61" s="49" t="s">
        <v>218</v>
      </c>
      <c r="B61" s="51">
        <v>21427.75</v>
      </c>
      <c r="C61" s="51">
        <v>18697.82</v>
      </c>
    </row>
    <row r="62" spans="1:9" x14ac:dyDescent="0.25">
      <c r="A62" s="49" t="s">
        <v>219</v>
      </c>
      <c r="B62" s="51">
        <v>21427.75</v>
      </c>
      <c r="C62" s="51">
        <v>18697.82</v>
      </c>
    </row>
    <row r="63" spans="1:9" x14ac:dyDescent="0.25">
      <c r="A63" s="49" t="s">
        <v>220</v>
      </c>
      <c r="B63" s="49">
        <v>-1.05</v>
      </c>
      <c r="C63" s="49">
        <v>-0.48</v>
      </c>
    </row>
    <row r="64" spans="1:9" x14ac:dyDescent="0.25">
      <c r="A64" s="56" t="s">
        <v>221</v>
      </c>
      <c r="B64" s="51">
        <v>21426.7</v>
      </c>
      <c r="C64" s="51">
        <v>18697.34</v>
      </c>
    </row>
    <row r="65" spans="1:3" x14ac:dyDescent="0.25">
      <c r="A65" s="52" t="s">
        <v>222</v>
      </c>
      <c r="B65" s="55"/>
      <c r="C65" s="55"/>
    </row>
    <row r="66" spans="1:3" x14ac:dyDescent="0.25">
      <c r="A66" s="49" t="s">
        <v>223</v>
      </c>
      <c r="B66" s="49">
        <v>0</v>
      </c>
      <c r="C66" s="49">
        <v>0</v>
      </c>
    </row>
    <row r="67" spans="1:3" x14ac:dyDescent="0.25">
      <c r="A67" s="49" t="s">
        <v>224</v>
      </c>
      <c r="B67" s="49">
        <v>555.79</v>
      </c>
      <c r="C67" s="49">
        <v>399.24</v>
      </c>
    </row>
    <row r="68" spans="1:3" x14ac:dyDescent="0.25">
      <c r="A68" s="49" t="s">
        <v>225</v>
      </c>
      <c r="B68" s="49">
        <v>0.49</v>
      </c>
      <c r="C68" s="49">
        <v>0.37</v>
      </c>
    </row>
    <row r="69" spans="1:3" x14ac:dyDescent="0.25">
      <c r="A69" s="49" t="s">
        <v>226</v>
      </c>
      <c r="B69" s="49">
        <v>0</v>
      </c>
      <c r="C69" s="49">
        <v>0</v>
      </c>
    </row>
    <row r="70" spans="1:3" x14ac:dyDescent="0.25">
      <c r="A70" s="49" t="s">
        <v>227</v>
      </c>
      <c r="B70" s="49">
        <v>12.67</v>
      </c>
      <c r="C70" s="49">
        <v>9.18</v>
      </c>
    </row>
    <row r="71" spans="1:3" x14ac:dyDescent="0.25">
      <c r="A71" s="49" t="s">
        <v>228</v>
      </c>
      <c r="B71" s="49">
        <v>112.48</v>
      </c>
      <c r="C71" s="49">
        <v>91.93</v>
      </c>
    </row>
    <row r="72" spans="1:3" x14ac:dyDescent="0.25">
      <c r="A72" s="49" t="s">
        <v>229</v>
      </c>
      <c r="B72" s="49">
        <v>0</v>
      </c>
      <c r="C72" s="49">
        <v>0</v>
      </c>
    </row>
    <row r="73" spans="1:3" x14ac:dyDescent="0.25">
      <c r="A73" s="49" t="s">
        <v>230</v>
      </c>
      <c r="B73" s="49">
        <v>0</v>
      </c>
      <c r="C73" s="49">
        <v>0</v>
      </c>
    </row>
    <row r="74" spans="1:3" x14ac:dyDescent="0.25">
      <c r="A74" s="56" t="s">
        <v>231</v>
      </c>
      <c r="B74" s="49">
        <v>681.43</v>
      </c>
      <c r="C74" s="49">
        <v>500.72</v>
      </c>
    </row>
    <row r="75" spans="1:3" x14ac:dyDescent="0.25">
      <c r="A75" s="52" t="s">
        <v>232</v>
      </c>
      <c r="B75" s="55"/>
      <c r="C75" s="55"/>
    </row>
    <row r="76" spans="1:3" x14ac:dyDescent="0.25">
      <c r="A76" s="49" t="s">
        <v>233</v>
      </c>
      <c r="B76" s="49">
        <v>0</v>
      </c>
      <c r="C76" s="49">
        <v>0</v>
      </c>
    </row>
    <row r="77" spans="1:3" x14ac:dyDescent="0.25">
      <c r="A77" s="49" t="s">
        <v>224</v>
      </c>
      <c r="B77" s="49">
        <v>263.83</v>
      </c>
      <c r="C77" s="49">
        <v>192.92</v>
      </c>
    </row>
    <row r="78" spans="1:3" x14ac:dyDescent="0.25">
      <c r="A78" s="49" t="s">
        <v>234</v>
      </c>
      <c r="B78" s="51">
        <v>1070.81</v>
      </c>
      <c r="C78" s="49">
        <v>984.81</v>
      </c>
    </row>
    <row r="79" spans="1:3" x14ac:dyDescent="0.25">
      <c r="A79" s="49" t="s">
        <v>235</v>
      </c>
      <c r="B79" s="49">
        <v>448.64</v>
      </c>
      <c r="C79" s="49">
        <v>389.85</v>
      </c>
    </row>
    <row r="80" spans="1:3" x14ac:dyDescent="0.25">
      <c r="A80" s="49" t="s">
        <v>236</v>
      </c>
      <c r="B80" s="49">
        <v>241.12</v>
      </c>
      <c r="C80" s="49">
        <v>254.78</v>
      </c>
    </row>
    <row r="81" spans="1:3" x14ac:dyDescent="0.25">
      <c r="A81" s="49" t="s">
        <v>237</v>
      </c>
      <c r="B81" s="49">
        <v>49.14</v>
      </c>
      <c r="C81" s="49">
        <v>61.04</v>
      </c>
    </row>
    <row r="82" spans="1:3" x14ac:dyDescent="0.25">
      <c r="A82" s="49" t="s">
        <v>229</v>
      </c>
      <c r="B82" s="49">
        <v>0</v>
      </c>
      <c r="C82" s="49">
        <v>0</v>
      </c>
    </row>
    <row r="83" spans="1:3" x14ac:dyDescent="0.25">
      <c r="A83" s="49" t="s">
        <v>238</v>
      </c>
      <c r="B83" s="49">
        <v>138.62</v>
      </c>
      <c r="C83" s="49">
        <v>95.74</v>
      </c>
    </row>
    <row r="84" spans="1:3" ht="26.25" x14ac:dyDescent="0.25">
      <c r="A84" s="49" t="s">
        <v>239</v>
      </c>
      <c r="B84" s="49">
        <v>0</v>
      </c>
      <c r="C84" s="49">
        <v>0</v>
      </c>
    </row>
    <row r="85" spans="1:3" x14ac:dyDescent="0.25">
      <c r="A85" s="56" t="s">
        <v>240</v>
      </c>
      <c r="B85" s="51">
        <v>2212.16</v>
      </c>
      <c r="C85" s="51">
        <v>1979.14</v>
      </c>
    </row>
    <row r="86" spans="1:3" ht="26.25" x14ac:dyDescent="0.25">
      <c r="A86" s="49" t="s">
        <v>201</v>
      </c>
      <c r="B86" s="49">
        <v>0</v>
      </c>
      <c r="C86" s="49">
        <v>0</v>
      </c>
    </row>
    <row r="87" spans="1:3" x14ac:dyDescent="0.25">
      <c r="A87" s="49" t="s">
        <v>241</v>
      </c>
      <c r="B87" s="49">
        <v>0</v>
      </c>
      <c r="C87" s="49">
        <v>0</v>
      </c>
    </row>
    <row r="88" spans="1:3" x14ac:dyDescent="0.25">
      <c r="A88" s="49" t="s">
        <v>242</v>
      </c>
      <c r="B88" s="49">
        <v>0</v>
      </c>
      <c r="C88" s="49">
        <v>0</v>
      </c>
    </row>
    <row r="89" spans="1:3" ht="26.25" x14ac:dyDescent="0.25">
      <c r="A89" s="49" t="s">
        <v>243</v>
      </c>
      <c r="B89" s="49">
        <v>0</v>
      </c>
      <c r="C89" s="49">
        <v>0</v>
      </c>
    </row>
    <row r="90" spans="1:3" x14ac:dyDescent="0.25">
      <c r="A90" s="49" t="s">
        <v>244</v>
      </c>
      <c r="B90" s="51">
        <v>24320.29</v>
      </c>
      <c r="C90" s="51">
        <v>21177.200000000001</v>
      </c>
    </row>
    <row r="91" spans="1:3" ht="26.25" x14ac:dyDescent="0.25">
      <c r="A91" s="49" t="s">
        <v>245</v>
      </c>
      <c r="B91" s="51">
        <v>4729.53</v>
      </c>
      <c r="C91" s="51">
        <v>3796.23</v>
      </c>
    </row>
    <row r="92" spans="1:3" x14ac:dyDescent="0.25">
      <c r="A92" s="49" t="s">
        <v>246</v>
      </c>
      <c r="B92" s="49">
        <v>329.29</v>
      </c>
      <c r="C92" s="49">
        <v>287.33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3289-5469-425E-94CA-B0A733BF8DC2}">
  <dimension ref="A2:K25"/>
  <sheetViews>
    <sheetView topLeftCell="A6" workbookViewId="0">
      <selection activeCell="D27" sqref="D27"/>
    </sheetView>
  </sheetViews>
  <sheetFormatPr defaultRowHeight="15" x14ac:dyDescent="0.25"/>
  <cols>
    <col min="1" max="1" width="23" customWidth="1"/>
    <col min="2" max="2" width="18.85546875" customWidth="1"/>
    <col min="3" max="3" width="36" bestFit="1" customWidth="1"/>
  </cols>
  <sheetData>
    <row r="2" spans="1:11" x14ac:dyDescent="0.25">
      <c r="C2" s="98" t="s">
        <v>396</v>
      </c>
      <c r="D2" s="97"/>
      <c r="E2" s="97"/>
      <c r="F2" s="97"/>
      <c r="G2" s="97"/>
      <c r="I2" s="98" t="s">
        <v>397</v>
      </c>
      <c r="J2" s="97"/>
      <c r="K2" s="97"/>
    </row>
    <row r="3" spans="1:11" x14ac:dyDescent="0.25">
      <c r="D3" s="39">
        <v>2025</v>
      </c>
      <c r="E3" s="39">
        <v>2024</v>
      </c>
      <c r="F3" s="39">
        <v>2023</v>
      </c>
      <c r="I3" s="39">
        <v>2025</v>
      </c>
      <c r="J3" s="39">
        <v>2024</v>
      </c>
      <c r="K3" s="39">
        <v>2023</v>
      </c>
    </row>
    <row r="4" spans="1:11" x14ac:dyDescent="0.25">
      <c r="C4" t="s">
        <v>398</v>
      </c>
      <c r="D4">
        <v>2341</v>
      </c>
      <c r="E4">
        <v>1954</v>
      </c>
      <c r="F4">
        <v>1736</v>
      </c>
      <c r="I4">
        <v>589</v>
      </c>
      <c r="J4">
        <v>1198</v>
      </c>
      <c r="K4">
        <v>1476</v>
      </c>
    </row>
    <row r="5" spans="1:11" x14ac:dyDescent="0.25">
      <c r="C5" t="s">
        <v>399</v>
      </c>
      <c r="D5">
        <v>3457</v>
      </c>
      <c r="E5">
        <v>4381</v>
      </c>
      <c r="F5">
        <v>5250</v>
      </c>
      <c r="I5">
        <v>2438</v>
      </c>
      <c r="J5">
        <v>3570</v>
      </c>
      <c r="K5">
        <v>4563</v>
      </c>
    </row>
    <row r="6" spans="1:11" x14ac:dyDescent="0.25">
      <c r="C6" t="s">
        <v>400</v>
      </c>
      <c r="D6">
        <v>3163</v>
      </c>
      <c r="E6">
        <v>2341</v>
      </c>
      <c r="F6">
        <v>1954</v>
      </c>
      <c r="I6">
        <v>410</v>
      </c>
      <c r="J6">
        <v>589</v>
      </c>
      <c r="K6">
        <v>1198</v>
      </c>
    </row>
    <row r="8" spans="1:11" x14ac:dyDescent="0.25">
      <c r="B8" s="39" t="s">
        <v>312</v>
      </c>
      <c r="C8" s="39" t="s">
        <v>401</v>
      </c>
      <c r="D8" s="39">
        <f>D4+D5-D6</f>
        <v>2635</v>
      </c>
      <c r="E8" s="39">
        <f t="shared" ref="E8:K8" si="0">E4+E5-E6</f>
        <v>3994</v>
      </c>
      <c r="F8" s="39">
        <f t="shared" si="0"/>
        <v>5032</v>
      </c>
      <c r="G8" s="39"/>
      <c r="H8" s="39"/>
      <c r="I8" s="39">
        <f t="shared" si="0"/>
        <v>2617</v>
      </c>
      <c r="J8" s="39">
        <f t="shared" si="0"/>
        <v>4179</v>
      </c>
      <c r="K8" s="39">
        <f t="shared" si="0"/>
        <v>4841</v>
      </c>
    </row>
    <row r="10" spans="1:11" x14ac:dyDescent="0.25">
      <c r="B10" t="s">
        <v>416</v>
      </c>
      <c r="C10" t="s">
        <v>402</v>
      </c>
    </row>
    <row r="11" spans="1:11" x14ac:dyDescent="0.25">
      <c r="C11" t="s">
        <v>399</v>
      </c>
      <c r="D11">
        <v>3457</v>
      </c>
      <c r="E11">
        <f>E5</f>
        <v>4381</v>
      </c>
      <c r="F11">
        <f>F5</f>
        <v>5250</v>
      </c>
      <c r="I11">
        <f>I5</f>
        <v>2438</v>
      </c>
      <c r="J11">
        <f>J5</f>
        <v>3570</v>
      </c>
      <c r="K11">
        <f>K5</f>
        <v>4563</v>
      </c>
    </row>
    <row r="12" spans="1:11" x14ac:dyDescent="0.25">
      <c r="C12" t="s">
        <v>403</v>
      </c>
      <c r="D12">
        <f>D4-D6</f>
        <v>-822</v>
      </c>
      <c r="E12">
        <f t="shared" ref="E12:K12" si="1">E4-E6</f>
        <v>-387</v>
      </c>
      <c r="F12">
        <f t="shared" si="1"/>
        <v>-218</v>
      </c>
      <c r="I12">
        <f t="shared" si="1"/>
        <v>179</v>
      </c>
      <c r="J12">
        <f t="shared" si="1"/>
        <v>609</v>
      </c>
      <c r="K12">
        <f t="shared" si="1"/>
        <v>278</v>
      </c>
    </row>
    <row r="13" spans="1:11" x14ac:dyDescent="0.25">
      <c r="C13" s="39" t="s">
        <v>312</v>
      </c>
      <c r="D13" s="39">
        <f>D11+D12</f>
        <v>2635</v>
      </c>
      <c r="E13" s="39">
        <f t="shared" ref="E13:F13" si="2">E11+E12</f>
        <v>3994</v>
      </c>
      <c r="F13" s="39">
        <f t="shared" si="2"/>
        <v>5032</v>
      </c>
      <c r="G13" s="39"/>
      <c r="H13" s="39"/>
      <c r="I13" s="39">
        <f t="shared" ref="I13:J13" si="3">I11+I12</f>
        <v>2617</v>
      </c>
      <c r="J13" s="39">
        <f t="shared" si="3"/>
        <v>4179</v>
      </c>
      <c r="K13" s="39">
        <f t="shared" ref="K13" si="4">K11+K12</f>
        <v>4841</v>
      </c>
    </row>
    <row r="15" spans="1:11" x14ac:dyDescent="0.25">
      <c r="A15" t="s">
        <v>415</v>
      </c>
    </row>
    <row r="16" spans="1:11" x14ac:dyDescent="0.25">
      <c r="B16" t="s">
        <v>404</v>
      </c>
    </row>
    <row r="17" spans="2:4" x14ac:dyDescent="0.25">
      <c r="B17" t="s">
        <v>405</v>
      </c>
    </row>
    <row r="18" spans="2:4" x14ac:dyDescent="0.25">
      <c r="B18" t="s">
        <v>406</v>
      </c>
    </row>
    <row r="19" spans="2:4" x14ac:dyDescent="0.25">
      <c r="B19" t="s">
        <v>407</v>
      </c>
    </row>
    <row r="22" spans="2:4" x14ac:dyDescent="0.25">
      <c r="C22" s="95" t="s">
        <v>408</v>
      </c>
      <c r="D22" s="95" t="s">
        <v>409</v>
      </c>
    </row>
    <row r="23" spans="2:4" x14ac:dyDescent="0.25">
      <c r="C23" s="96" t="s">
        <v>410</v>
      </c>
      <c r="D23" s="117" t="s">
        <v>411</v>
      </c>
    </row>
    <row r="24" spans="2:4" x14ac:dyDescent="0.25">
      <c r="C24" s="96" t="s">
        <v>411</v>
      </c>
      <c r="D24" s="117" t="s">
        <v>412</v>
      </c>
    </row>
    <row r="25" spans="2:4" x14ac:dyDescent="0.25">
      <c r="C25" s="96" t="s">
        <v>413</v>
      </c>
      <c r="D25" s="117" t="s">
        <v>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46C1-89A4-406B-AAF8-558FB03FD3E4}">
  <dimension ref="A1:AK61"/>
  <sheetViews>
    <sheetView workbookViewId="0">
      <selection activeCell="AC12" sqref="AC12"/>
    </sheetView>
  </sheetViews>
  <sheetFormatPr defaultRowHeight="15" x14ac:dyDescent="0.25"/>
  <cols>
    <col min="1" max="1" width="15.85546875" bestFit="1" customWidth="1"/>
    <col min="11" max="11" width="69.140625" bestFit="1" customWidth="1"/>
    <col min="21" max="21" width="22.140625" bestFit="1" customWidth="1"/>
  </cols>
  <sheetData>
    <row r="1" spans="1:37" ht="15.75" x14ac:dyDescent="0.25">
      <c r="A1" s="101" t="s">
        <v>499</v>
      </c>
      <c r="B1" s="39"/>
      <c r="C1" s="39"/>
      <c r="D1" s="39"/>
      <c r="E1" s="39"/>
      <c r="F1" s="39"/>
      <c r="G1" s="39"/>
      <c r="H1" s="39"/>
      <c r="K1" s="102" t="s">
        <v>498</v>
      </c>
      <c r="L1" s="102"/>
      <c r="M1" s="102"/>
      <c r="N1" s="102"/>
      <c r="O1" s="102"/>
      <c r="P1" s="102"/>
      <c r="Q1" s="102"/>
      <c r="R1" s="102"/>
      <c r="U1" s="103" t="s">
        <v>497</v>
      </c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</row>
    <row r="2" spans="1:37" ht="15.75" x14ac:dyDescent="0.25">
      <c r="A2" s="101" t="s">
        <v>480</v>
      </c>
      <c r="B2" s="101" t="s">
        <v>118</v>
      </c>
      <c r="C2" s="101" t="s">
        <v>248</v>
      </c>
      <c r="D2" s="101" t="s">
        <v>481</v>
      </c>
      <c r="E2" s="101" t="s">
        <v>482</v>
      </c>
      <c r="F2" s="101" t="s">
        <v>483</v>
      </c>
      <c r="G2" s="101" t="s">
        <v>269</v>
      </c>
      <c r="H2" s="101" t="s">
        <v>279</v>
      </c>
      <c r="K2" s="102"/>
      <c r="L2" s="102">
        <v>2022</v>
      </c>
      <c r="M2" s="102">
        <v>2022</v>
      </c>
      <c r="N2" s="102">
        <v>2022</v>
      </c>
      <c r="O2" s="102">
        <v>2022</v>
      </c>
      <c r="P2" s="102">
        <v>2022</v>
      </c>
      <c r="Q2" s="102">
        <v>2022</v>
      </c>
      <c r="R2" s="102">
        <v>2022</v>
      </c>
      <c r="U2" s="104" t="s">
        <v>496</v>
      </c>
      <c r="V2" s="104" t="s">
        <v>118</v>
      </c>
      <c r="W2" s="104" t="s">
        <v>484</v>
      </c>
      <c r="X2" s="104" t="s">
        <v>485</v>
      </c>
      <c r="Y2" s="104" t="s">
        <v>307</v>
      </c>
      <c r="Z2" s="104" t="s">
        <v>486</v>
      </c>
      <c r="AA2" s="104" t="s">
        <v>487</v>
      </c>
      <c r="AB2" s="104" t="s">
        <v>475</v>
      </c>
      <c r="AC2" s="104" t="s">
        <v>488</v>
      </c>
      <c r="AD2" s="104" t="s">
        <v>489</v>
      </c>
      <c r="AE2" s="104" t="s">
        <v>490</v>
      </c>
      <c r="AF2" s="104" t="s">
        <v>477</v>
      </c>
      <c r="AG2" s="104" t="s">
        <v>491</v>
      </c>
      <c r="AH2" s="104" t="s">
        <v>492</v>
      </c>
      <c r="AI2" s="104" t="s">
        <v>493</v>
      </c>
      <c r="AJ2" s="104" t="s">
        <v>494</v>
      </c>
      <c r="AK2" s="104" t="s">
        <v>495</v>
      </c>
    </row>
    <row r="3" spans="1:37" x14ac:dyDescent="0.25">
      <c r="A3" s="100"/>
      <c r="B3" s="100">
        <v>2020</v>
      </c>
      <c r="C3" s="100">
        <v>1.5554918146487577</v>
      </c>
      <c r="D3" s="100">
        <v>29.781992168764305</v>
      </c>
      <c r="E3" s="100">
        <v>16.722846786201917</v>
      </c>
      <c r="F3" s="100">
        <v>15.899179942945286</v>
      </c>
      <c r="G3" s="100">
        <v>17.046156828600218</v>
      </c>
      <c r="H3" s="100">
        <v>19.23793343045384</v>
      </c>
      <c r="K3" s="102" t="s">
        <v>417</v>
      </c>
      <c r="L3" s="102" t="s">
        <v>474</v>
      </c>
      <c r="M3" s="102" t="s">
        <v>475</v>
      </c>
      <c r="N3" s="102" t="s">
        <v>476</v>
      </c>
      <c r="O3" s="102" t="s">
        <v>307</v>
      </c>
      <c r="P3" s="102" t="s">
        <v>477</v>
      </c>
      <c r="Q3" s="102" t="s">
        <v>478</v>
      </c>
      <c r="R3" s="102" t="s">
        <v>479</v>
      </c>
      <c r="U3" s="105" t="s">
        <v>418</v>
      </c>
      <c r="V3" s="105">
        <v>2011</v>
      </c>
      <c r="W3" s="105">
        <v>1</v>
      </c>
      <c r="X3" s="105">
        <v>70.468066276404628</v>
      </c>
      <c r="Y3" s="105">
        <v>-5.5399999999999991</v>
      </c>
      <c r="Z3" s="105">
        <v>2</v>
      </c>
      <c r="AA3" s="105">
        <v>0</v>
      </c>
      <c r="AB3" s="105">
        <v>4.3110675457333878</v>
      </c>
      <c r="AC3" s="105">
        <v>0.57098765432098764</v>
      </c>
      <c r="AD3" s="105">
        <v>0.2360440150295223</v>
      </c>
      <c r="AE3" s="105">
        <v>0.31038647342995168</v>
      </c>
      <c r="AF3" s="105">
        <v>0.21484165324745039</v>
      </c>
      <c r="AG3" s="105">
        <v>-8.5614600107353736E-2</v>
      </c>
      <c r="AH3" s="105">
        <v>2.7777777777777776E-2</v>
      </c>
      <c r="AI3" s="105">
        <v>-4.1062801932367152E-2</v>
      </c>
      <c r="AJ3" s="105">
        <v>25</v>
      </c>
      <c r="AK3" s="105">
        <v>0</v>
      </c>
    </row>
    <row r="4" spans="1:37" x14ac:dyDescent="0.25">
      <c r="A4" s="100"/>
      <c r="B4" s="100">
        <v>2021</v>
      </c>
      <c r="C4" s="100">
        <v>2.5139646392158115</v>
      </c>
      <c r="D4" s="100">
        <v>29.311872500998522</v>
      </c>
      <c r="E4" s="100">
        <v>17.721768582910265</v>
      </c>
      <c r="F4" s="100">
        <v>16.787125807647008</v>
      </c>
      <c r="G4" s="100">
        <v>16.418214431449677</v>
      </c>
      <c r="H4" s="100">
        <v>13.554637546720093</v>
      </c>
      <c r="K4" s="99" t="s">
        <v>418</v>
      </c>
      <c r="L4" s="99">
        <v>0.20838339340541984</v>
      </c>
      <c r="M4" s="99">
        <v>4.5549289695513444</v>
      </c>
      <c r="N4" s="99">
        <v>0.53101997896950581</v>
      </c>
      <c r="O4" s="99">
        <v>9.9699999999999989</v>
      </c>
      <c r="P4" s="99">
        <v>0.19148264984227131</v>
      </c>
      <c r="Q4" s="99">
        <v>-3.207150368033649E-2</v>
      </c>
      <c r="R4" s="99">
        <v>0.13375394321766562</v>
      </c>
      <c r="U4" s="105" t="s">
        <v>418</v>
      </c>
      <c r="V4" s="105">
        <v>2012</v>
      </c>
      <c r="W4" s="105">
        <v>1</v>
      </c>
      <c r="X4" s="105">
        <v>74.350216514221827</v>
      </c>
      <c r="Y4" s="105">
        <v>-12.169999999999998</v>
      </c>
      <c r="Z4" s="105">
        <v>2</v>
      </c>
      <c r="AA4" s="105">
        <v>4.8349687778768975E-2</v>
      </c>
      <c r="AB4" s="105">
        <v>4.3816515643437981</v>
      </c>
      <c r="AC4" s="105">
        <v>0.73565086907590349</v>
      </c>
      <c r="AD4" s="105">
        <v>0.24134050268850821</v>
      </c>
      <c r="AE4" s="105">
        <v>0.39352257096411153</v>
      </c>
      <c r="AF4" s="105">
        <v>0.18344379142178316</v>
      </c>
      <c r="AG4" s="105">
        <v>-0.11104164061523072</v>
      </c>
      <c r="AH4" s="105">
        <v>5.3269976241090408E-2</v>
      </c>
      <c r="AI4" s="105">
        <v>-6.1272977366512445E-2</v>
      </c>
      <c r="AJ4" s="105">
        <v>26</v>
      </c>
      <c r="AK4" s="105">
        <v>0</v>
      </c>
    </row>
    <row r="5" spans="1:37" x14ac:dyDescent="0.25">
      <c r="A5" s="100"/>
      <c r="B5" s="100">
        <v>2022</v>
      </c>
      <c r="C5" s="100">
        <v>2.210858483523515</v>
      </c>
      <c r="D5" s="100">
        <v>26.595164054837106</v>
      </c>
      <c r="E5" s="100">
        <v>15.825541994484196</v>
      </c>
      <c r="F5" s="100">
        <v>15.013436533311053</v>
      </c>
      <c r="G5" s="100">
        <v>15.142295708726973</v>
      </c>
      <c r="H5" s="100">
        <v>14.294209740991553</v>
      </c>
      <c r="K5" s="99" t="s">
        <v>419</v>
      </c>
      <c r="L5" s="99">
        <v>0.27183559470491991</v>
      </c>
      <c r="M5" s="99">
        <v>8.1055943101244345</v>
      </c>
      <c r="N5" s="99">
        <v>8.7773736398074231E-2</v>
      </c>
      <c r="O5" s="99">
        <v>1511.85</v>
      </c>
      <c r="P5" s="99">
        <v>2.05858826725426E-3</v>
      </c>
      <c r="Q5" s="99">
        <v>0.11334912992951901</v>
      </c>
      <c r="R5" s="99">
        <v>0.10071084682835539</v>
      </c>
      <c r="U5" s="105" t="s">
        <v>418</v>
      </c>
      <c r="V5" s="105">
        <v>2013</v>
      </c>
      <c r="W5" s="105">
        <v>1</v>
      </c>
      <c r="X5" s="105">
        <v>86.738234167983535</v>
      </c>
      <c r="Y5" s="105">
        <v>-9.8999999999999986</v>
      </c>
      <c r="Z5" s="105">
        <v>3</v>
      </c>
      <c r="AA5" s="105">
        <v>0.23366235534377122</v>
      </c>
      <c r="AB5" s="105">
        <v>4.36131359307634</v>
      </c>
      <c r="AC5" s="105">
        <v>0.65735068912710559</v>
      </c>
      <c r="AD5" s="105">
        <v>0.32223072996426749</v>
      </c>
      <c r="AE5" s="105">
        <v>0.44857069933639609</v>
      </c>
      <c r="AF5" s="105">
        <v>0.102475752935171</v>
      </c>
      <c r="AG5" s="105">
        <v>-5.334354262378764E-2</v>
      </c>
      <c r="AH5" s="105">
        <v>7.4400204185809088E-2</v>
      </c>
      <c r="AI5" s="105">
        <v>1.7866258295048496E-3</v>
      </c>
      <c r="AJ5" s="105">
        <v>27</v>
      </c>
      <c r="AK5" s="105">
        <v>0</v>
      </c>
    </row>
    <row r="6" spans="1:37" x14ac:dyDescent="0.25">
      <c r="A6" s="100"/>
      <c r="B6" s="100">
        <v>2023</v>
      </c>
      <c r="C6" s="100">
        <v>1.8309383502126837</v>
      </c>
      <c r="D6" s="100">
        <v>28.475249536066062</v>
      </c>
      <c r="E6" s="100">
        <v>17.902140135501654</v>
      </c>
      <c r="F6" s="100">
        <v>17.126793969407814</v>
      </c>
      <c r="G6" s="100">
        <v>15.448725691508637</v>
      </c>
      <c r="H6" s="100">
        <v>16.016416001047347</v>
      </c>
      <c r="K6" s="99" t="s">
        <v>420</v>
      </c>
      <c r="L6" s="99">
        <v>0.19121449247974989</v>
      </c>
      <c r="M6" s="99">
        <v>9.0377913084410508</v>
      </c>
      <c r="N6" s="99">
        <v>9.7084194377534863E-2</v>
      </c>
      <c r="O6" s="99">
        <v>2631.55</v>
      </c>
      <c r="P6" s="99">
        <v>2.2019757176622696E-3</v>
      </c>
      <c r="Q6" s="99">
        <v>8.6258506958267034E-2</v>
      </c>
      <c r="R6" s="99">
        <v>7.7264036258328714E-2</v>
      </c>
      <c r="U6" s="105" t="s">
        <v>418</v>
      </c>
      <c r="V6" s="105">
        <v>2014</v>
      </c>
      <c r="W6" s="105">
        <v>1</v>
      </c>
      <c r="X6" s="105">
        <v>89.064756617053732</v>
      </c>
      <c r="Y6" s="105">
        <v>-14.850000000000001</v>
      </c>
      <c r="Z6" s="105">
        <v>3</v>
      </c>
      <c r="AA6" s="105">
        <v>-0.15257276865774583</v>
      </c>
      <c r="AB6" s="105">
        <v>4.2529140362110702</v>
      </c>
      <c r="AC6" s="105">
        <v>0.63874271085194134</v>
      </c>
      <c r="AD6" s="105">
        <v>0.33736310624377752</v>
      </c>
      <c r="AE6" s="105">
        <v>0.54857061584411893</v>
      </c>
      <c r="AF6" s="105">
        <v>7.0971412316882379E-2</v>
      </c>
      <c r="AG6" s="105">
        <v>-0.1624235528374342</v>
      </c>
      <c r="AH6" s="105">
        <v>6.357559379889062E-2</v>
      </c>
      <c r="AI6" s="105">
        <v>-0.10069691366804152</v>
      </c>
      <c r="AJ6" s="105">
        <v>28</v>
      </c>
      <c r="AK6" s="105">
        <v>0</v>
      </c>
    </row>
    <row r="7" spans="1:37" x14ac:dyDescent="0.25">
      <c r="A7" s="100"/>
      <c r="B7" s="100">
        <v>2024</v>
      </c>
      <c r="C7" s="100">
        <v>1.2977748885464344</v>
      </c>
      <c r="D7" s="100">
        <v>28.962120145739441</v>
      </c>
      <c r="E7" s="100">
        <v>19.638189173469627</v>
      </c>
      <c r="F7" s="100">
        <v>18.855290663156488</v>
      </c>
      <c r="G7" s="100">
        <v>16.736604018822327</v>
      </c>
      <c r="H7" s="100">
        <v>19.008867749822144</v>
      </c>
      <c r="K7" s="99" t="s">
        <v>421</v>
      </c>
      <c r="L7" s="99">
        <v>0.33976257919432606</v>
      </c>
      <c r="M7" s="99">
        <v>6.6703860204039449</v>
      </c>
      <c r="N7" s="99">
        <v>0.31611512615696713</v>
      </c>
      <c r="O7" s="99">
        <v>156.64000000000001</v>
      </c>
      <c r="P7" s="99">
        <v>0.11843540002535817</v>
      </c>
      <c r="Q7" s="99">
        <v>5.4329909978445542E-2</v>
      </c>
      <c r="R7" s="99">
        <v>2.4445289717256246E-2</v>
      </c>
      <c r="U7" s="105" t="s">
        <v>418</v>
      </c>
      <c r="V7" s="105">
        <v>2015</v>
      </c>
      <c r="W7" s="105">
        <v>1</v>
      </c>
      <c r="X7" s="105">
        <v>78.027361704715474</v>
      </c>
      <c r="Y7" s="105">
        <v>-5.3300000000000018</v>
      </c>
      <c r="Z7" s="105">
        <v>4</v>
      </c>
      <c r="AA7" s="105">
        <v>7.7649356991697921E-2</v>
      </c>
      <c r="AB7" s="105">
        <v>4.1191997632202773</v>
      </c>
      <c r="AC7" s="105">
        <v>0.58088115753536007</v>
      </c>
      <c r="AD7" s="105">
        <v>0.36709478133636808</v>
      </c>
      <c r="AE7" s="105">
        <v>0.45374735815314587</v>
      </c>
      <c r="AF7" s="105">
        <v>0.22516663957080149</v>
      </c>
      <c r="AG7" s="105">
        <v>-0.15395870590147945</v>
      </c>
      <c r="AH7" s="105">
        <v>5.7063892050073159E-2</v>
      </c>
      <c r="AI7" s="105">
        <v>-6.8281580230856773E-2</v>
      </c>
      <c r="AJ7" s="105">
        <v>29</v>
      </c>
      <c r="AK7" s="105">
        <v>0</v>
      </c>
    </row>
    <row r="8" spans="1:37" x14ac:dyDescent="0.25">
      <c r="A8" s="100"/>
      <c r="B8" s="100">
        <v>2025</v>
      </c>
      <c r="C8" s="100">
        <v>1.6787162427560536</v>
      </c>
      <c r="D8" s="100">
        <v>29.339690155889851</v>
      </c>
      <c r="E8" s="100">
        <v>20.094036609651084</v>
      </c>
      <c r="F8" s="100">
        <v>19.294021572751692</v>
      </c>
      <c r="G8" s="100">
        <v>16.299479047420423</v>
      </c>
      <c r="H8" s="100">
        <v>15.039906004969501</v>
      </c>
      <c r="K8" s="99" t="s">
        <v>422</v>
      </c>
      <c r="L8" s="99">
        <v>2.2636560234066914</v>
      </c>
      <c r="M8" s="99">
        <v>5.7472888629653411</v>
      </c>
      <c r="N8" s="99">
        <v>1.1935916257100915E-2</v>
      </c>
      <c r="O8" s="99">
        <v>117.12000000000003</v>
      </c>
      <c r="P8" s="99">
        <v>0</v>
      </c>
      <c r="Q8" s="99">
        <v>0.1668155996680922</v>
      </c>
      <c r="R8" s="99">
        <v>2.6456883896087316E-2</v>
      </c>
      <c r="U8" s="105" t="s">
        <v>418</v>
      </c>
      <c r="V8" s="105">
        <v>2016</v>
      </c>
      <c r="W8" s="105">
        <v>1</v>
      </c>
      <c r="X8" s="105">
        <v>54.512374642853686</v>
      </c>
      <c r="Y8" s="105">
        <v>-11.309999999999999</v>
      </c>
      <c r="Z8" s="105">
        <v>3</v>
      </c>
      <c r="AA8" s="105">
        <v>0.22447129909365557</v>
      </c>
      <c r="AB8" s="105">
        <v>4.1526134703460764</v>
      </c>
      <c r="AC8" s="105">
        <v>0.48223270440251575</v>
      </c>
      <c r="AD8" s="105">
        <v>0.37201257861635217</v>
      </c>
      <c r="AE8" s="105">
        <v>0.54984276729559745</v>
      </c>
      <c r="AF8" s="105">
        <v>0.22515723270440252</v>
      </c>
      <c r="AG8" s="105">
        <v>-7.562893081761006E-2</v>
      </c>
      <c r="AH8" s="105">
        <v>0.16996855345911951</v>
      </c>
      <c r="AI8" s="105">
        <v>-4.7169811320754715E-3</v>
      </c>
      <c r="AJ8" s="105">
        <v>30</v>
      </c>
      <c r="AK8" s="105">
        <v>0</v>
      </c>
    </row>
    <row r="9" spans="1:37" x14ac:dyDescent="0.25">
      <c r="K9" s="99" t="s">
        <v>423</v>
      </c>
      <c r="L9" s="99">
        <v>0.1716615597652616</v>
      </c>
      <c r="M9" s="99">
        <v>9.9627969568919532</v>
      </c>
      <c r="N9" s="99">
        <v>0.31678342404864374</v>
      </c>
      <c r="O9" s="99">
        <v>4252.97</v>
      </c>
      <c r="P9" s="99">
        <v>4.7766311203384024E-3</v>
      </c>
      <c r="Q9" s="99">
        <v>0.11829948727904488</v>
      </c>
      <c r="R9" s="99">
        <v>0.13342807746840907</v>
      </c>
      <c r="U9" s="105" t="s">
        <v>418</v>
      </c>
      <c r="V9" s="105">
        <v>2017</v>
      </c>
      <c r="W9" s="105">
        <v>1</v>
      </c>
      <c r="X9" s="105">
        <v>46.3507342593159</v>
      </c>
      <c r="Y9" s="105">
        <v>-12.580000000000002</v>
      </c>
      <c r="Z9" s="105">
        <v>3</v>
      </c>
      <c r="AA9" s="105">
        <v>-1.1349617567234169E-2</v>
      </c>
      <c r="AB9" s="105">
        <v>4.0780457892525979</v>
      </c>
      <c r="AC9" s="105">
        <v>0.54192783330509908</v>
      </c>
      <c r="AD9" s="105">
        <v>0.3796374724716246</v>
      </c>
      <c r="AE9" s="105">
        <v>0.59274944943249197</v>
      </c>
      <c r="AF9" s="105">
        <v>0.17499576486532273</v>
      </c>
      <c r="AG9" s="105">
        <v>-2.1514484160596307E-2</v>
      </c>
      <c r="AH9" s="105">
        <v>0.15432830764018293</v>
      </c>
      <c r="AI9" s="105">
        <v>5.2854480772488568E-2</v>
      </c>
      <c r="AJ9" s="105">
        <v>31</v>
      </c>
      <c r="AK9" s="105">
        <v>0</v>
      </c>
    </row>
    <row r="10" spans="1:37" x14ac:dyDescent="0.25">
      <c r="K10" s="99" t="s">
        <v>424</v>
      </c>
      <c r="L10" s="99">
        <v>0.2066043613707165</v>
      </c>
      <c r="M10" s="99">
        <v>6.3245023212805602</v>
      </c>
      <c r="N10" s="99">
        <v>0.16298738532110088</v>
      </c>
      <c r="O10" s="99">
        <v>127.27999999999997</v>
      </c>
      <c r="P10" s="99">
        <v>7.1996846330275227E-2</v>
      </c>
      <c r="Q10" s="99">
        <v>9.0435063073394481E-2</v>
      </c>
      <c r="R10" s="99">
        <v>6.9936209862385315E-2</v>
      </c>
      <c r="U10" s="105" t="s">
        <v>418</v>
      </c>
      <c r="V10" s="105">
        <v>2018</v>
      </c>
      <c r="W10" s="105">
        <v>1</v>
      </c>
      <c r="X10" s="105">
        <v>22.21149280585162</v>
      </c>
      <c r="Y10" s="105">
        <v>29.420000000000009</v>
      </c>
      <c r="Z10" s="105">
        <v>2</v>
      </c>
      <c r="AA10" s="105">
        <v>0.15185924631894188</v>
      </c>
      <c r="AB10" s="105">
        <v>4.8104755791724214</v>
      </c>
      <c r="AC10" s="105">
        <v>0.3315416564866846</v>
      </c>
      <c r="AD10" s="105">
        <v>0.53286098216467137</v>
      </c>
      <c r="AE10" s="105">
        <v>0.29326492385373398</v>
      </c>
      <c r="AF10" s="105">
        <v>8.1439856665852267E-2</v>
      </c>
      <c r="AG10" s="105">
        <v>1.189021907321443E-2</v>
      </c>
      <c r="AH10" s="105">
        <v>3.7869533349621308E-2</v>
      </c>
      <c r="AI10" s="105">
        <v>4.4221842169557775E-2</v>
      </c>
      <c r="AJ10" s="105">
        <v>32</v>
      </c>
      <c r="AK10" s="105">
        <v>0</v>
      </c>
    </row>
    <row r="11" spans="1:37" x14ac:dyDescent="0.25">
      <c r="K11" s="99" t="s">
        <v>425</v>
      </c>
      <c r="L11" s="99">
        <v>0.27628465179175116</v>
      </c>
      <c r="M11" s="99">
        <v>6.1208686843192428</v>
      </c>
      <c r="N11" s="99">
        <v>0.17862320432280454</v>
      </c>
      <c r="O11" s="99">
        <v>183.21999999999997</v>
      </c>
      <c r="P11" s="99">
        <v>1.3179282168431227E-4</v>
      </c>
      <c r="Q11" s="99">
        <v>0.12498352589728946</v>
      </c>
      <c r="R11" s="99">
        <v>8.39300619426262E-2</v>
      </c>
      <c r="U11" s="105" t="s">
        <v>418</v>
      </c>
      <c r="V11" s="105">
        <v>2019</v>
      </c>
      <c r="W11" s="105">
        <v>1</v>
      </c>
      <c r="X11" s="105">
        <v>103.52815166179025</v>
      </c>
      <c r="Y11" s="105">
        <v>26.64</v>
      </c>
      <c r="Z11" s="105">
        <v>1</v>
      </c>
      <c r="AA11" s="105">
        <v>-3.0332575018957829E-2</v>
      </c>
      <c r="AB11" s="105">
        <v>4.9159582471543475</v>
      </c>
      <c r="AC11" s="105">
        <v>0.51872480762183959</v>
      </c>
      <c r="AD11" s="105">
        <v>0.44543788933675343</v>
      </c>
      <c r="AE11" s="105">
        <v>0.25020153902528403</v>
      </c>
      <c r="AF11" s="105">
        <v>0.20923415170392087</v>
      </c>
      <c r="AG11" s="105">
        <v>-2.2132649322096007E-2</v>
      </c>
      <c r="AH11" s="105">
        <v>-1.9787467936973252E-2</v>
      </c>
      <c r="AI11" s="105">
        <v>4.5437889336753393E-3</v>
      </c>
      <c r="AJ11" s="105">
        <v>33</v>
      </c>
      <c r="AK11" s="105">
        <v>0</v>
      </c>
    </row>
    <row r="12" spans="1:37" x14ac:dyDescent="0.25">
      <c r="K12" s="99" t="s">
        <v>426</v>
      </c>
      <c r="L12" s="99">
        <v>0.14167607065395726</v>
      </c>
      <c r="M12" s="99">
        <v>8.1057271134519553</v>
      </c>
      <c r="N12" s="99">
        <v>0.33758175161994214</v>
      </c>
      <c r="O12" s="99">
        <v>631.56999999999994</v>
      </c>
      <c r="P12" s="99">
        <v>0.26287276776956531</v>
      </c>
      <c r="Q12" s="99">
        <v>8.281246699000118E-2</v>
      </c>
      <c r="R12" s="99">
        <v>5.4554398969031713E-2</v>
      </c>
      <c r="U12" s="105" t="s">
        <v>418</v>
      </c>
      <c r="V12" s="105">
        <v>2020</v>
      </c>
      <c r="W12" s="105">
        <v>1</v>
      </c>
      <c r="X12" s="105">
        <v>106.34593659275384</v>
      </c>
      <c r="Y12" s="105">
        <v>18.8</v>
      </c>
      <c r="Z12" s="105">
        <v>3</v>
      </c>
      <c r="AA12" s="105">
        <v>-3.8878337615908878E-2</v>
      </c>
      <c r="AB12" s="105">
        <v>4.7295977643631435</v>
      </c>
      <c r="AC12" s="105">
        <v>0.55814569536423841</v>
      </c>
      <c r="AD12" s="105">
        <v>0.39222958057395146</v>
      </c>
      <c r="AE12" s="105">
        <v>0.22622516556291392</v>
      </c>
      <c r="AF12" s="105">
        <v>0.19549668874172185</v>
      </c>
      <c r="AG12" s="105">
        <v>-7.3024282560706394E-2</v>
      </c>
      <c r="AH12" s="105">
        <v>0.14004415011037527</v>
      </c>
      <c r="AI12" s="105">
        <v>-3.205298013245033E-2</v>
      </c>
      <c r="AJ12" s="105">
        <v>34</v>
      </c>
      <c r="AK12" s="105">
        <v>0</v>
      </c>
    </row>
    <row r="13" spans="1:37" x14ac:dyDescent="0.25">
      <c r="K13" s="99" t="s">
        <v>427</v>
      </c>
      <c r="L13" s="99">
        <v>0.24596837768892718</v>
      </c>
      <c r="M13" s="99">
        <v>8.7507622082140291</v>
      </c>
      <c r="N13" s="99">
        <v>0.12123188979494894</v>
      </c>
      <c r="O13" s="99">
        <v>3277.4799999999996</v>
      </c>
      <c r="P13" s="99">
        <v>4.8768901908004118E-4</v>
      </c>
      <c r="Q13" s="99">
        <v>0.12016150740242261</v>
      </c>
      <c r="R13" s="99">
        <v>4.9908954160399017E-3</v>
      </c>
      <c r="U13" s="105" t="s">
        <v>418</v>
      </c>
      <c r="V13" s="105">
        <v>2021</v>
      </c>
      <c r="W13" s="105">
        <v>1</v>
      </c>
      <c r="X13" s="105">
        <v>121.8686076802145</v>
      </c>
      <c r="Y13" s="105">
        <v>18.600000000000001</v>
      </c>
      <c r="Z13" s="105">
        <v>3</v>
      </c>
      <c r="AA13" s="105">
        <v>-0.12925723584796006</v>
      </c>
      <c r="AB13" s="105">
        <v>4.6849974858476457</v>
      </c>
      <c r="AC13" s="105">
        <v>0.50946357677038134</v>
      </c>
      <c r="AD13" s="105">
        <v>0.43809435878496911</v>
      </c>
      <c r="AE13" s="105">
        <v>0.26636506324439113</v>
      </c>
      <c r="AF13" s="105">
        <v>0.23063429046256118</v>
      </c>
      <c r="AG13" s="105">
        <v>-0.10165266365063244</v>
      </c>
      <c r="AH13" s="105">
        <v>9.1219647308651106E-2</v>
      </c>
      <c r="AI13" s="105">
        <v>-6.5183270242821528E-2</v>
      </c>
      <c r="AJ13" s="105">
        <v>35</v>
      </c>
      <c r="AK13" s="105">
        <v>0</v>
      </c>
    </row>
    <row r="14" spans="1:37" x14ac:dyDescent="0.25">
      <c r="K14" s="99" t="s">
        <v>428</v>
      </c>
      <c r="L14" s="99">
        <v>-0.3817309134543273</v>
      </c>
      <c r="M14" s="99">
        <v>5.7565646600951705</v>
      </c>
      <c r="N14" s="99">
        <v>0.18095870486308732</v>
      </c>
      <c r="O14" s="99">
        <v>141.31</v>
      </c>
      <c r="P14" s="99">
        <v>1.9920318725099601E-2</v>
      </c>
      <c r="Q14" s="99">
        <v>-3.1935749067223173E-3</v>
      </c>
      <c r="R14" s="99">
        <v>-3.0670966925947004E-3</v>
      </c>
      <c r="U14" s="105" t="s">
        <v>418</v>
      </c>
      <c r="V14" s="105">
        <v>2022</v>
      </c>
      <c r="W14" s="105">
        <v>1</v>
      </c>
      <c r="X14" s="105">
        <v>114.24004968837062</v>
      </c>
      <c r="Y14" s="105">
        <v>9.9699999999999989</v>
      </c>
      <c r="Z14" s="105">
        <v>3</v>
      </c>
      <c r="AA14" s="105">
        <v>0.20838339340541984</v>
      </c>
      <c r="AB14" s="105">
        <v>4.5549289695513444</v>
      </c>
      <c r="AC14" s="105">
        <v>0.53101997896950581</v>
      </c>
      <c r="AD14" s="105">
        <v>0.39768664563617245</v>
      </c>
      <c r="AE14" s="105">
        <v>0.29284963196635122</v>
      </c>
      <c r="AF14" s="105">
        <v>0.21524710830704522</v>
      </c>
      <c r="AG14" s="105">
        <v>-8.0967402733964258E-2</v>
      </c>
      <c r="AH14" s="105">
        <v>0.13375394321766562</v>
      </c>
      <c r="AI14" s="105">
        <v>-3.207150368033649E-2</v>
      </c>
      <c r="AJ14" s="105">
        <v>36</v>
      </c>
      <c r="AK14" s="105">
        <v>0</v>
      </c>
    </row>
    <row r="15" spans="1:37" x14ac:dyDescent="0.25">
      <c r="K15" s="99" t="s">
        <v>429</v>
      </c>
      <c r="L15" s="99">
        <v>0.6296004723479629</v>
      </c>
      <c r="M15" s="99">
        <v>4.9548406557739408</v>
      </c>
      <c r="N15" s="99">
        <v>0.422529254194276</v>
      </c>
      <c r="O15" s="99">
        <v>-53.430000000000007</v>
      </c>
      <c r="P15" s="99">
        <v>8.755110672494007E-2</v>
      </c>
      <c r="Q15" s="99">
        <v>-6.5698576060905109E-2</v>
      </c>
      <c r="R15" s="99">
        <v>0.10341181446496545</v>
      </c>
      <c r="U15" s="105" t="s">
        <v>419</v>
      </c>
      <c r="V15" s="105">
        <v>2011</v>
      </c>
      <c r="W15" s="105">
        <v>2</v>
      </c>
      <c r="X15" s="105">
        <v>76.904641928410825</v>
      </c>
      <c r="Y15" s="105">
        <v>270.26</v>
      </c>
      <c r="Z15" s="105">
        <v>2</v>
      </c>
      <c r="AA15" s="105">
        <v>0</v>
      </c>
      <c r="AB15" s="105">
        <v>6.6355265199774358</v>
      </c>
      <c r="AC15" s="105">
        <v>0.21702027097993912</v>
      </c>
      <c r="AD15" s="105">
        <v>0.61076830164898643</v>
      </c>
      <c r="AE15" s="105">
        <v>0.25594737947694568</v>
      </c>
      <c r="AF15" s="105">
        <v>3.5868081083919756E-2</v>
      </c>
      <c r="AG15" s="105">
        <v>0.12972639428631447</v>
      </c>
      <c r="AH15" s="105">
        <v>6.911038756433148E-2</v>
      </c>
      <c r="AI15" s="105">
        <v>0.1997951895809264</v>
      </c>
      <c r="AJ15" s="105">
        <v>24</v>
      </c>
      <c r="AK15" s="105">
        <v>0</v>
      </c>
    </row>
    <row r="16" spans="1:37" x14ac:dyDescent="0.25">
      <c r="K16" s="99" t="s">
        <v>430</v>
      </c>
      <c r="L16" s="99">
        <v>0.16096866096866108</v>
      </c>
      <c r="M16" s="99">
        <v>2.8207834710894493</v>
      </c>
      <c r="N16" s="99">
        <v>0.21203097081596189</v>
      </c>
      <c r="O16" s="99">
        <v>-10.78</v>
      </c>
      <c r="P16" s="99">
        <v>0</v>
      </c>
      <c r="Q16" s="99">
        <v>-0.19892793329362715</v>
      </c>
      <c r="R16" s="99">
        <v>0.23942823108993447</v>
      </c>
      <c r="U16" s="105" t="s">
        <v>419</v>
      </c>
      <c r="V16" s="105">
        <v>2012</v>
      </c>
      <c r="W16" s="105">
        <v>2</v>
      </c>
      <c r="X16" s="105">
        <v>83.818405027956274</v>
      </c>
      <c r="Y16" s="105">
        <v>267.70000000000005</v>
      </c>
      <c r="Z16" s="105">
        <v>2</v>
      </c>
      <c r="AA16" s="105">
        <v>0.19138546753152094</v>
      </c>
      <c r="AB16" s="105">
        <v>6.8419893382065178</v>
      </c>
      <c r="AC16" s="105">
        <v>0.30956373151065308</v>
      </c>
      <c r="AD16" s="105">
        <v>0.60708068564105311</v>
      </c>
      <c r="AE16" s="105">
        <v>0.32118331820366314</v>
      </c>
      <c r="AF16" s="105">
        <v>3.3577188017301224E-2</v>
      </c>
      <c r="AG16" s="105">
        <v>6.9172852031825702E-2</v>
      </c>
      <c r="AH16" s="105">
        <v>2.231003364126662E-2</v>
      </c>
      <c r="AI16" s="105">
        <v>0.10957441127783414</v>
      </c>
      <c r="AJ16" s="105">
        <v>25</v>
      </c>
      <c r="AK16" s="105">
        <v>0</v>
      </c>
    </row>
    <row r="17" spans="11:37" x14ac:dyDescent="0.25">
      <c r="K17" s="99" t="s">
        <v>431</v>
      </c>
      <c r="L17" s="99">
        <v>0.76364706871898402</v>
      </c>
      <c r="M17" s="99">
        <v>5.6917436310444449</v>
      </c>
      <c r="N17" s="99">
        <v>0.32390944974865893</v>
      </c>
      <c r="O17" s="99">
        <v>48.56</v>
      </c>
      <c r="P17" s="99">
        <v>8.8391079923079513E-2</v>
      </c>
      <c r="Q17" s="99">
        <v>6.3020815761951343E-2</v>
      </c>
      <c r="R17" s="99">
        <v>-4.3891906480887956E-2</v>
      </c>
      <c r="U17" s="105" t="s">
        <v>419</v>
      </c>
      <c r="V17" s="105">
        <v>2013</v>
      </c>
      <c r="W17" s="105">
        <v>2</v>
      </c>
      <c r="X17" s="105">
        <v>90.467588128841356</v>
      </c>
      <c r="Y17" s="105">
        <v>221.14999999999998</v>
      </c>
      <c r="Z17" s="105">
        <v>2</v>
      </c>
      <c r="AA17" s="105">
        <v>0.12320303419587691</v>
      </c>
      <c r="AB17" s="105">
        <v>7.2199714148706704</v>
      </c>
      <c r="AC17" s="105">
        <v>0.21921768085184237</v>
      </c>
      <c r="AD17" s="105">
        <v>0.65835559295985946</v>
      </c>
      <c r="AE17" s="105">
        <v>0.49651286179516269</v>
      </c>
      <c r="AF17" s="105">
        <v>2.3089026309048997E-2</v>
      </c>
      <c r="AG17" s="105">
        <v>3.8252405869223169E-2</v>
      </c>
      <c r="AH17" s="105">
        <v>4.66830107212119E-2</v>
      </c>
      <c r="AI17" s="105">
        <v>6.2526985985583081E-2</v>
      </c>
      <c r="AJ17" s="105">
        <v>26</v>
      </c>
      <c r="AK17" s="105">
        <v>0</v>
      </c>
    </row>
    <row r="18" spans="11:37" x14ac:dyDescent="0.25">
      <c r="K18" s="99" t="s">
        <v>432</v>
      </c>
      <c r="L18" s="99">
        <v>0.5083988575156958</v>
      </c>
      <c r="M18" s="99">
        <v>8.145488725056417</v>
      </c>
      <c r="N18" s="99">
        <v>0.26113829438567893</v>
      </c>
      <c r="O18" s="99">
        <v>193.93000000000006</v>
      </c>
      <c r="P18" s="99">
        <v>5.0249580165845367E-2</v>
      </c>
      <c r="Q18" s="99">
        <v>0.12248135762328913</v>
      </c>
      <c r="R18" s="99">
        <v>4.648775012399247E-2</v>
      </c>
      <c r="U18" s="105" t="s">
        <v>419</v>
      </c>
      <c r="V18" s="105">
        <v>2014</v>
      </c>
      <c r="W18" s="105">
        <v>2</v>
      </c>
      <c r="X18" s="105">
        <v>93.055259107861787</v>
      </c>
      <c r="Y18" s="105">
        <v>256.81000000000006</v>
      </c>
      <c r="Z18" s="105">
        <v>3</v>
      </c>
      <c r="AA18" s="105">
        <v>0.10021240673165945</v>
      </c>
      <c r="AB18" s="105">
        <v>7.2701458575167521</v>
      </c>
      <c r="AC18" s="105">
        <v>0.29112029844928866</v>
      </c>
      <c r="AD18" s="105">
        <v>0.66642306300286758</v>
      </c>
      <c r="AE18" s="105">
        <v>0.4876806147164453</v>
      </c>
      <c r="AF18" s="105">
        <v>2.5508783652106126E-2</v>
      </c>
      <c r="AG18" s="105">
        <v>2.9921490019209889E-2</v>
      </c>
      <c r="AH18" s="105">
        <v>8.3799660346891625E-2</v>
      </c>
      <c r="AI18" s="105">
        <v>5.3363122581363623E-2</v>
      </c>
      <c r="AJ18" s="105">
        <v>27</v>
      </c>
      <c r="AK18" s="105">
        <v>0</v>
      </c>
    </row>
    <row r="19" spans="11:37" x14ac:dyDescent="0.25">
      <c r="K19" s="99" t="s">
        <v>433</v>
      </c>
      <c r="L19" s="99">
        <v>0.13348487545702278</v>
      </c>
      <c r="M19" s="99">
        <v>5.3862366645859199</v>
      </c>
      <c r="N19" s="99">
        <v>0.10289403791556002</v>
      </c>
      <c r="O19" s="99">
        <v>52.609999999999985</v>
      </c>
      <c r="P19" s="99">
        <v>0.18509020972616541</v>
      </c>
      <c r="Q19" s="99">
        <v>9.4605733125744121E-2</v>
      </c>
      <c r="R19" s="99">
        <v>-5.0233537869768301E-2</v>
      </c>
      <c r="U19" s="105" t="s">
        <v>419</v>
      </c>
      <c r="V19" s="105">
        <v>2015</v>
      </c>
      <c r="W19" s="105">
        <v>2</v>
      </c>
      <c r="X19" s="105">
        <v>91.807156273142311</v>
      </c>
      <c r="Y19" s="105">
        <v>400.67</v>
      </c>
      <c r="Z19" s="105">
        <v>3</v>
      </c>
      <c r="AA19" s="105">
        <v>6.0393049849017479E-2</v>
      </c>
      <c r="AB19" s="105">
        <v>7.3353797123152882</v>
      </c>
      <c r="AC19" s="105">
        <v>0.25283481458780266</v>
      </c>
      <c r="AD19" s="105">
        <v>0.49781887181226003</v>
      </c>
      <c r="AE19" s="105">
        <v>0.23655949035282767</v>
      </c>
      <c r="AF19" s="105">
        <v>0.23676162779324603</v>
      </c>
      <c r="AG19" s="105">
        <v>7.0643775144919513E-2</v>
      </c>
      <c r="AH19" s="105">
        <v>0.1156486981696781</v>
      </c>
      <c r="AI19" s="105">
        <v>0.10835870918942887</v>
      </c>
      <c r="AJ19" s="105">
        <v>28</v>
      </c>
      <c r="AK19" s="105">
        <v>0</v>
      </c>
    </row>
    <row r="20" spans="11:37" x14ac:dyDescent="0.25">
      <c r="K20" s="99" t="s">
        <v>434</v>
      </c>
      <c r="L20" s="99">
        <v>0.33953173865269198</v>
      </c>
      <c r="M20" s="99">
        <v>5.5068344710000829</v>
      </c>
      <c r="N20" s="99">
        <v>0.65133741932865197</v>
      </c>
      <c r="O20" s="99">
        <v>32.879999999999995</v>
      </c>
      <c r="P20" s="99">
        <v>6.2061127572350522E-2</v>
      </c>
      <c r="Q20" s="99">
        <v>0.10703413564963267</v>
      </c>
      <c r="R20" s="99">
        <v>6.0518731988472622E-2</v>
      </c>
      <c r="U20" s="105" t="s">
        <v>419</v>
      </c>
      <c r="V20" s="105">
        <v>2016</v>
      </c>
      <c r="W20" s="105">
        <v>2</v>
      </c>
      <c r="X20" s="105">
        <v>79.434808630614185</v>
      </c>
      <c r="Y20" s="105">
        <v>601.44000000000005</v>
      </c>
      <c r="Z20" s="105">
        <v>4</v>
      </c>
      <c r="AA20" s="105">
        <v>0.15346311252197992</v>
      </c>
      <c r="AB20" s="105">
        <v>7.3128803292771964</v>
      </c>
      <c r="AC20" s="105">
        <v>0.23288584785493732</v>
      </c>
      <c r="AD20" s="105">
        <v>0.71205543218027467</v>
      </c>
      <c r="AE20" s="105">
        <v>0.31095905941353391</v>
      </c>
      <c r="AF20" s="105">
        <v>3.0096899612534929E-2</v>
      </c>
      <c r="AG20" s="105">
        <v>0.12988416061460897</v>
      </c>
      <c r="AH20" s="105">
        <v>0.17399915971430288</v>
      </c>
      <c r="AI20" s="105">
        <v>0.20363590287364372</v>
      </c>
      <c r="AJ20" s="105">
        <v>29</v>
      </c>
      <c r="AK20" s="105">
        <v>0</v>
      </c>
    </row>
    <row r="21" spans="11:37" x14ac:dyDescent="0.25">
      <c r="K21" s="99" t="s">
        <v>435</v>
      </c>
      <c r="L21" s="99">
        <v>0.25157777502784306</v>
      </c>
      <c r="M21" s="99">
        <v>4.9676582012411155</v>
      </c>
      <c r="N21" s="99">
        <v>5.3517990117614316E-2</v>
      </c>
      <c r="O21" s="99">
        <v>77.150000000000006</v>
      </c>
      <c r="P21" s="99">
        <v>3.8972788642215885E-3</v>
      </c>
      <c r="Q21" s="99">
        <v>0.12575683763657874</v>
      </c>
      <c r="R21" s="99">
        <v>3.1804579302665462E-2</v>
      </c>
      <c r="U21" s="105" t="s">
        <v>419</v>
      </c>
      <c r="V21" s="105">
        <v>2017</v>
      </c>
      <c r="W21" s="105">
        <v>2</v>
      </c>
      <c r="X21" s="105">
        <v>54.425635499146921</v>
      </c>
      <c r="Y21" s="105">
        <v>848.57999999999993</v>
      </c>
      <c r="Z21" s="105">
        <v>4</v>
      </c>
      <c r="AA21" s="105">
        <v>0.10527262507026415</v>
      </c>
      <c r="AB21" s="105">
        <v>7.593666341877455</v>
      </c>
      <c r="AC21" s="105">
        <v>0.15871936663342701</v>
      </c>
      <c r="AD21" s="105">
        <v>0.78319181297152463</v>
      </c>
      <c r="AE21" s="105">
        <v>0.35582046555666358</v>
      </c>
      <c r="AF21" s="105">
        <v>2.6526254293455818E-2</v>
      </c>
      <c r="AG21" s="105">
        <v>0.12125424309269836</v>
      </c>
      <c r="AH21" s="105">
        <v>0.1837850905025232</v>
      </c>
      <c r="AI21" s="105">
        <v>0.18709898367227712</v>
      </c>
      <c r="AJ21" s="105">
        <v>30</v>
      </c>
      <c r="AK21" s="105">
        <v>0</v>
      </c>
    </row>
    <row r="22" spans="11:37" x14ac:dyDescent="0.25">
      <c r="K22" s="99" t="s">
        <v>436</v>
      </c>
      <c r="L22" s="99">
        <v>0.15190357757796055</v>
      </c>
      <c r="M22" s="99">
        <v>6.1059532735926796</v>
      </c>
      <c r="N22" s="99">
        <v>0.18284580397752612</v>
      </c>
      <c r="O22" s="99">
        <v>289.95000000000005</v>
      </c>
      <c r="P22" s="99">
        <v>1.6298046909836796E-2</v>
      </c>
      <c r="Q22" s="99">
        <v>0.21758227057879248</v>
      </c>
      <c r="R22" s="99">
        <v>0.15437438687238028</v>
      </c>
      <c r="U22" s="105" t="s">
        <v>419</v>
      </c>
      <c r="V22" s="105">
        <v>2018</v>
      </c>
      <c r="W22" s="105">
        <v>2</v>
      </c>
      <c r="X22" s="105">
        <v>91.15783109275084</v>
      </c>
      <c r="Y22" s="105">
        <v>1169.74</v>
      </c>
      <c r="Z22" s="105">
        <v>4</v>
      </c>
      <c r="AA22" s="105">
        <v>4.9864719165123972E-2</v>
      </c>
      <c r="AB22" s="105">
        <v>7.6936502683669818</v>
      </c>
      <c r="AC22" s="105">
        <v>0.12998263738567334</v>
      </c>
      <c r="AD22" s="105">
        <v>0.81004115076308925</v>
      </c>
      <c r="AE22" s="105">
        <v>0.27697699111817969</v>
      </c>
      <c r="AF22" s="105">
        <v>2.2740011939645546E-2</v>
      </c>
      <c r="AG22" s="105">
        <v>0.14151669955385829</v>
      </c>
      <c r="AH22" s="105">
        <v>1.3407037099486414E-2</v>
      </c>
      <c r="AI22" s="105">
        <v>0.2194798507088595</v>
      </c>
      <c r="AJ22" s="105">
        <v>31</v>
      </c>
      <c r="AK22" s="105">
        <v>0</v>
      </c>
    </row>
    <row r="23" spans="11:37" x14ac:dyDescent="0.25">
      <c r="K23" s="99" t="s">
        <v>437</v>
      </c>
      <c r="L23" s="99">
        <v>4.9317876805697998E-2</v>
      </c>
      <c r="M23" s="99">
        <v>5.9539703426804014</v>
      </c>
      <c r="N23" s="99">
        <v>0.11617524916943522</v>
      </c>
      <c r="O23" s="99">
        <v>217.94</v>
      </c>
      <c r="P23" s="99">
        <v>1.5936461794019932E-2</v>
      </c>
      <c r="Q23" s="99">
        <v>0.16336171096345514</v>
      </c>
      <c r="R23" s="99">
        <v>0.24083783222591365</v>
      </c>
      <c r="U23" s="105" t="s">
        <v>419</v>
      </c>
      <c r="V23" s="105">
        <v>2019</v>
      </c>
      <c r="W23" s="105">
        <v>2</v>
      </c>
      <c r="X23" s="105">
        <v>91.131841689692919</v>
      </c>
      <c r="Y23" s="105">
        <v>889.70999999999992</v>
      </c>
      <c r="Z23" s="105">
        <v>2</v>
      </c>
      <c r="AA23" s="105">
        <v>8.8493688987409128E-2</v>
      </c>
      <c r="AB23" s="105">
        <v>7.8479617363821879</v>
      </c>
      <c r="AC23" s="105">
        <v>0.10524465829073114</v>
      </c>
      <c r="AD23" s="105">
        <v>0.59921265685351743</v>
      </c>
      <c r="AE23" s="105">
        <v>0.25173891138874677</v>
      </c>
      <c r="AF23" s="105">
        <v>2.2026861836118582E-2</v>
      </c>
      <c r="AG23" s="105">
        <v>0.12614283873134649</v>
      </c>
      <c r="AH23" s="105">
        <v>0.10440107634807128</v>
      </c>
      <c r="AI23" s="105">
        <v>0.19948760207927327</v>
      </c>
      <c r="AJ23" s="105">
        <v>32</v>
      </c>
      <c r="AK23" s="105">
        <v>0</v>
      </c>
    </row>
    <row r="24" spans="11:37" x14ac:dyDescent="0.25">
      <c r="K24" s="99" t="s">
        <v>438</v>
      </c>
      <c r="L24" s="99">
        <v>0.57425585813806213</v>
      </c>
      <c r="M24" s="99">
        <v>6.9363718899280151</v>
      </c>
      <c r="N24" s="99">
        <v>0.44603169975608098</v>
      </c>
      <c r="O24" s="99">
        <v>72.979999999999961</v>
      </c>
      <c r="P24" s="99">
        <v>0.15175456497866924</v>
      </c>
      <c r="Q24" s="99">
        <v>0.11224162560858285</v>
      </c>
      <c r="R24" s="99">
        <v>4.8667191432708472E-2</v>
      </c>
      <c r="U24" s="105" t="s">
        <v>419</v>
      </c>
      <c r="V24" s="105">
        <v>2020</v>
      </c>
      <c r="W24" s="105">
        <v>2</v>
      </c>
      <c r="X24" s="105">
        <v>95.561548985151006</v>
      </c>
      <c r="Y24" s="105">
        <v>1155.5500000000002</v>
      </c>
      <c r="Z24" s="105">
        <v>4</v>
      </c>
      <c r="AA24" s="105">
        <v>2.3846822085190459E-2</v>
      </c>
      <c r="AB24" s="105">
        <v>7.9084570097916167</v>
      </c>
      <c r="AC24" s="105">
        <v>0.10537499218804568</v>
      </c>
      <c r="AD24" s="105">
        <v>0.64019792735066305</v>
      </c>
      <c r="AE24" s="105">
        <v>0.21539304239777368</v>
      </c>
      <c r="AF24" s="105">
        <v>2.1880824501229693E-2</v>
      </c>
      <c r="AG24" s="105">
        <v>8.049805344479613E-2</v>
      </c>
      <c r="AH24" s="105">
        <v>8.0262775761987218E-2</v>
      </c>
      <c r="AI24" s="105">
        <v>0.12470084810252224</v>
      </c>
      <c r="AJ24" s="105">
        <v>33</v>
      </c>
      <c r="AK24" s="105">
        <v>0</v>
      </c>
    </row>
    <row r="25" spans="11:37" x14ac:dyDescent="0.25">
      <c r="K25" s="99" t="s">
        <v>439</v>
      </c>
      <c r="L25" s="99">
        <v>0.49699232524372539</v>
      </c>
      <c r="M25" s="99">
        <v>4.379272846477261</v>
      </c>
      <c r="N25" s="99">
        <v>0.21922787666081722</v>
      </c>
      <c r="O25" s="99">
        <v>11.150000000000006</v>
      </c>
      <c r="P25" s="99">
        <v>6.8062170970167951E-2</v>
      </c>
      <c r="Q25" s="99">
        <v>0.10779644021057909</v>
      </c>
      <c r="R25" s="99">
        <v>2.5695663073451992E-2</v>
      </c>
      <c r="U25" s="105" t="s">
        <v>419</v>
      </c>
      <c r="V25" s="105">
        <v>2021</v>
      </c>
      <c r="W25" s="105">
        <v>2</v>
      </c>
      <c r="X25" s="105">
        <v>71.304915147721303</v>
      </c>
      <c r="Y25" s="105">
        <v>1294.04</v>
      </c>
      <c r="Z25" s="105">
        <v>3</v>
      </c>
      <c r="AA25" s="105">
        <v>-0.15835228497708406</v>
      </c>
      <c r="AB25" s="105">
        <v>7.9985638644757175</v>
      </c>
      <c r="AC25" s="105">
        <v>8.3391563755593479E-2</v>
      </c>
      <c r="AD25" s="105">
        <v>0.66851324294180103</v>
      </c>
      <c r="AE25" s="105">
        <v>0.23378730666379993</v>
      </c>
      <c r="AF25" s="105">
        <v>1.9908085518093983E-2</v>
      </c>
      <c r="AG25" s="105">
        <v>5.0156550250614787E-2</v>
      </c>
      <c r="AH25" s="105">
        <v>0.10483491675289248</v>
      </c>
      <c r="AI25" s="105">
        <v>6.9607750917129146E-2</v>
      </c>
      <c r="AJ25" s="105">
        <v>34</v>
      </c>
      <c r="AK25" s="105">
        <v>0</v>
      </c>
    </row>
    <row r="26" spans="11:37" x14ac:dyDescent="0.25">
      <c r="K26" s="99" t="s">
        <v>440</v>
      </c>
      <c r="L26" s="99">
        <v>0.17561322060275</v>
      </c>
      <c r="M26" s="99">
        <v>7.6194395805404938</v>
      </c>
      <c r="N26" s="99">
        <v>0.31874625752176772</v>
      </c>
      <c r="O26" s="99">
        <v>418.51999999999987</v>
      </c>
      <c r="P26" s="99">
        <v>5.9001089613334508E-2</v>
      </c>
      <c r="Q26" s="99">
        <v>0.13671702447212652</v>
      </c>
      <c r="R26" s="99">
        <v>1.9588499180335912E-2</v>
      </c>
      <c r="U26" s="105" t="s">
        <v>419</v>
      </c>
      <c r="V26" s="105">
        <v>2022</v>
      </c>
      <c r="W26" s="105">
        <v>2</v>
      </c>
      <c r="X26" s="105">
        <v>57.686900430492969</v>
      </c>
      <c r="Y26" s="105">
        <v>1511.85</v>
      </c>
      <c r="Z26" s="105">
        <v>3</v>
      </c>
      <c r="AA26" s="105">
        <v>0.27183559470491991</v>
      </c>
      <c r="AB26" s="105">
        <v>8.1055943101244345</v>
      </c>
      <c r="AC26" s="105">
        <v>8.7773736398074231E-2</v>
      </c>
      <c r="AD26" s="105">
        <v>0.68508127197814639</v>
      </c>
      <c r="AE26" s="105">
        <v>0.22873571892120315</v>
      </c>
      <c r="AF26" s="105">
        <v>2.0033504882355606E-2</v>
      </c>
      <c r="AG26" s="105">
        <v>8.0345311580313619E-2</v>
      </c>
      <c r="AH26" s="105">
        <v>0.10071084682835539</v>
      </c>
      <c r="AI26" s="105">
        <v>0.11334912992951901</v>
      </c>
      <c r="AJ26" s="105">
        <v>35</v>
      </c>
      <c r="AK26" s="105">
        <v>0</v>
      </c>
    </row>
    <row r="27" spans="11:37" x14ac:dyDescent="0.25">
      <c r="K27" s="99" t="s">
        <v>441</v>
      </c>
      <c r="L27" s="99">
        <v>0.29070478503702346</v>
      </c>
      <c r="M27" s="99">
        <v>8.9961478900434155</v>
      </c>
      <c r="N27" s="99">
        <v>0.4503272451569823</v>
      </c>
      <c r="O27" s="99">
        <v>544.79</v>
      </c>
      <c r="P27" s="99">
        <v>0.11704264035986436</v>
      </c>
      <c r="Q27" s="99">
        <v>0.18177684890726256</v>
      </c>
      <c r="R27" s="99">
        <v>6.278919663574882E-2</v>
      </c>
      <c r="U27" s="105" t="s">
        <v>423</v>
      </c>
      <c r="V27" s="105">
        <v>2011</v>
      </c>
      <c r="W27" s="105">
        <v>3</v>
      </c>
      <c r="X27" s="105">
        <v>20.939414784019114</v>
      </c>
      <c r="Y27" s="105">
        <v>-3554.69</v>
      </c>
      <c r="Z27" s="105">
        <v>3</v>
      </c>
      <c r="AA27" s="105">
        <v>0</v>
      </c>
      <c r="AB27" s="105">
        <v>8.7078614837603929</v>
      </c>
      <c r="AC27" s="105">
        <v>0.1266187240611607</v>
      </c>
      <c r="AD27" s="105">
        <v>0</v>
      </c>
      <c r="AE27" s="105">
        <v>0.58752390381287511</v>
      </c>
      <c r="AF27" s="105">
        <v>0</v>
      </c>
      <c r="AG27" s="105">
        <v>1.0477183738300148E-2</v>
      </c>
      <c r="AH27" s="105">
        <v>3.6474284703708421E-2</v>
      </c>
      <c r="AI27" s="105">
        <v>3.8013053919729471E-2</v>
      </c>
      <c r="AJ27" s="105">
        <v>62</v>
      </c>
      <c r="AK27" s="105">
        <v>1</v>
      </c>
    </row>
    <row r="28" spans="11:37" x14ac:dyDescent="0.25">
      <c r="K28" s="99" t="s">
        <v>442</v>
      </c>
      <c r="L28" s="99">
        <v>0.7211522778314492</v>
      </c>
      <c r="M28" s="99">
        <v>7.0480475155091034</v>
      </c>
      <c r="N28" s="99">
        <v>0.31020936720522163</v>
      </c>
      <c r="O28" s="99">
        <v>274.17</v>
      </c>
      <c r="P28" s="99">
        <v>0.14142063774867245</v>
      </c>
      <c r="Q28" s="99">
        <v>0.24353169188517396</v>
      </c>
      <c r="R28" s="99">
        <v>3.9127071727170809E-2</v>
      </c>
      <c r="U28" s="105" t="s">
        <v>423</v>
      </c>
      <c r="V28" s="105">
        <v>2012</v>
      </c>
      <c r="W28" s="105">
        <v>3</v>
      </c>
      <c r="X28" s="105">
        <v>114.75120904466804</v>
      </c>
      <c r="Y28" s="105">
        <v>1055.3000000000006</v>
      </c>
      <c r="Z28" s="105">
        <v>3</v>
      </c>
      <c r="AA28" s="105">
        <v>0.17080496927718916</v>
      </c>
      <c r="AB28" s="105">
        <v>8.8063536704861995</v>
      </c>
      <c r="AC28" s="105">
        <v>0.1750010858934207</v>
      </c>
      <c r="AD28" s="105">
        <v>0.73343038973838215</v>
      </c>
      <c r="AE28" s="105">
        <v>0.57536924120763333</v>
      </c>
      <c r="AF28" s="105">
        <v>4.501440119343432E-2</v>
      </c>
      <c r="AG28" s="105">
        <v>2.7664071006945224E-2</v>
      </c>
      <c r="AH28" s="105">
        <v>1.7685833808879763E-2</v>
      </c>
      <c r="AI28" s="105">
        <v>4.7643012163504091E-2</v>
      </c>
      <c r="AJ28" s="105">
        <v>63</v>
      </c>
      <c r="AK28" s="105">
        <v>1</v>
      </c>
    </row>
    <row r="29" spans="11:37" x14ac:dyDescent="0.25">
      <c r="K29" s="99" t="s">
        <v>443</v>
      </c>
      <c r="L29" s="99">
        <v>0.36719701477596911</v>
      </c>
      <c r="M29" s="99">
        <v>7.5547695118438725</v>
      </c>
      <c r="N29" s="99">
        <v>0.36296424289072854</v>
      </c>
      <c r="O29" s="99">
        <v>582.49999999999989</v>
      </c>
      <c r="P29" s="99">
        <v>0.10949142070236619</v>
      </c>
      <c r="Q29" s="99">
        <v>0.13668232251038051</v>
      </c>
      <c r="R29" s="99">
        <v>3.6872391783561893E-2</v>
      </c>
      <c r="U29" s="105" t="s">
        <v>423</v>
      </c>
      <c r="V29" s="105">
        <v>2013</v>
      </c>
      <c r="W29" s="105">
        <v>3</v>
      </c>
      <c r="X29" s="105">
        <v>128.38307200286545</v>
      </c>
      <c r="Y29" s="105">
        <v>977.47999999999956</v>
      </c>
      <c r="Z29" s="105">
        <v>1</v>
      </c>
      <c r="AA29" s="105">
        <v>3.2693193485549818E-2</v>
      </c>
      <c r="AB29" s="105">
        <v>9.058456454434344</v>
      </c>
      <c r="AC29" s="105">
        <v>0.14053740711079657</v>
      </c>
      <c r="AD29" s="105">
        <v>0.57614237423872761</v>
      </c>
      <c r="AE29" s="105">
        <v>0.46236124820740138</v>
      </c>
      <c r="AF29" s="105">
        <v>0.23521920920790421</v>
      </c>
      <c r="AG29" s="105">
        <v>1.5994868977334105E-2</v>
      </c>
      <c r="AH29" s="105">
        <v>-5.8457340807926547E-3</v>
      </c>
      <c r="AI29" s="105">
        <v>3.6040545322481521E-2</v>
      </c>
      <c r="AJ29" s="105">
        <v>64</v>
      </c>
      <c r="AK29" s="105">
        <v>1</v>
      </c>
    </row>
    <row r="30" spans="11:37" x14ac:dyDescent="0.25">
      <c r="K30" s="99" t="s">
        <v>444</v>
      </c>
      <c r="L30" s="99">
        <v>0.5878161872808837</v>
      </c>
      <c r="M30" s="99">
        <v>6.5131559241842787</v>
      </c>
      <c r="N30" s="99">
        <v>0.34208769196527933</v>
      </c>
      <c r="O30" s="99">
        <v>27.79000000000002</v>
      </c>
      <c r="P30" s="99">
        <v>0.23341494176125824</v>
      </c>
      <c r="Q30" s="99">
        <v>-3.022479412419319E-2</v>
      </c>
      <c r="R30" s="99">
        <v>1.8562207878922769E-2</v>
      </c>
      <c r="U30" s="105" t="s">
        <v>423</v>
      </c>
      <c r="V30" s="105">
        <v>2014</v>
      </c>
      <c r="W30" s="105">
        <v>3</v>
      </c>
      <c r="X30" s="105">
        <v>121.63078137589697</v>
      </c>
      <c r="Y30" s="105">
        <v>857.25</v>
      </c>
      <c r="Z30" s="105">
        <v>2</v>
      </c>
      <c r="AA30" s="105">
        <v>2.1231292889927783E-2</v>
      </c>
      <c r="AB30" s="105">
        <v>9.1432503318140181</v>
      </c>
      <c r="AC30" s="105">
        <v>0.14880693308067169</v>
      </c>
      <c r="AD30" s="105">
        <v>0.5701975487402029</v>
      </c>
      <c r="AE30" s="105">
        <v>0.47852393993868098</v>
      </c>
      <c r="AF30" s="105">
        <v>0.23513999942252845</v>
      </c>
      <c r="AG30" s="105">
        <v>1.891647087885823E-2</v>
      </c>
      <c r="AH30" s="105">
        <v>3.5299552673425931E-2</v>
      </c>
      <c r="AI30" s="105">
        <v>4.4195822741899086E-2</v>
      </c>
      <c r="AJ30" s="105">
        <v>65</v>
      </c>
      <c r="AK30" s="105">
        <v>1</v>
      </c>
    </row>
    <row r="31" spans="11:37" x14ac:dyDescent="0.25">
      <c r="K31" s="99" t="s">
        <v>445</v>
      </c>
      <c r="L31" s="99">
        <v>0.13923656085279115</v>
      </c>
      <c r="M31" s="99">
        <v>8.3547871967175578</v>
      </c>
      <c r="N31" s="99">
        <v>6.3757505034725492E-2</v>
      </c>
      <c r="O31" s="99">
        <v>2649.8500000000004</v>
      </c>
      <c r="P31" s="99">
        <v>2.5582992979616422E-2</v>
      </c>
      <c r="Q31" s="99">
        <v>0.25851433249891781</v>
      </c>
      <c r="R31" s="99">
        <v>0.22295364288268621</v>
      </c>
      <c r="U31" s="105" t="s">
        <v>423</v>
      </c>
      <c r="V31" s="105">
        <v>2015</v>
      </c>
      <c r="W31" s="105">
        <v>3</v>
      </c>
      <c r="X31" s="105">
        <v>121.09180490003459</v>
      </c>
      <c r="Y31" s="105">
        <v>981.82999999999993</v>
      </c>
      <c r="Z31" s="105">
        <v>3</v>
      </c>
      <c r="AA31" s="105">
        <v>-4.8628911144268511E-3</v>
      </c>
      <c r="AB31" s="105">
        <v>9.1249371557480448</v>
      </c>
      <c r="AC31" s="105">
        <v>0.15243175892182254</v>
      </c>
      <c r="AD31" s="105">
        <v>0.55383480986601197</v>
      </c>
      <c r="AE31" s="105">
        <v>0.44689819221863281</v>
      </c>
      <c r="AF31" s="105">
        <v>0.24683327851247414</v>
      </c>
      <c r="AG31" s="105">
        <v>2.4888307037473505E-2</v>
      </c>
      <c r="AH31" s="105">
        <v>5.2170579278586537E-2</v>
      </c>
      <c r="AI31" s="105">
        <v>5.6205902790635864E-2</v>
      </c>
      <c r="AJ31" s="105">
        <v>66</v>
      </c>
      <c r="AK31" s="105">
        <v>1</v>
      </c>
    </row>
    <row r="32" spans="11:37" x14ac:dyDescent="0.25">
      <c r="K32" s="99" t="s">
        <v>446</v>
      </c>
      <c r="L32" s="99">
        <v>0.17447761194029848</v>
      </c>
      <c r="M32" s="99">
        <v>5.3455825590151509</v>
      </c>
      <c r="N32" s="99">
        <v>0.49456314383822969</v>
      </c>
      <c r="O32" s="99">
        <v>1.8799999999999955</v>
      </c>
      <c r="P32" s="99">
        <v>7.8548264021365888E-2</v>
      </c>
      <c r="Q32" s="99">
        <v>5.5417779473483399E-2</v>
      </c>
      <c r="R32" s="99">
        <v>4.4210225104921785E-2</v>
      </c>
      <c r="U32" s="105" t="s">
        <v>423</v>
      </c>
      <c r="V32" s="105">
        <v>2016</v>
      </c>
      <c r="W32" s="105">
        <v>3</v>
      </c>
      <c r="X32" s="105">
        <v>113.84350688278528</v>
      </c>
      <c r="Y32" s="105">
        <v>1823.9100000000003</v>
      </c>
      <c r="Z32" s="105">
        <v>2</v>
      </c>
      <c r="AA32" s="105">
        <v>6.2988312976360025E-2</v>
      </c>
      <c r="AB32" s="105">
        <v>9.209304835993823</v>
      </c>
      <c r="AC32" s="105">
        <v>0.12997652570410376</v>
      </c>
      <c r="AD32" s="105">
        <v>0.57583498921383636</v>
      </c>
      <c r="AE32" s="105">
        <v>0.39325501894460768</v>
      </c>
      <c r="AF32" s="105">
        <v>0.30557827351308603</v>
      </c>
      <c r="AG32" s="105">
        <v>3.0019069737177981E-2</v>
      </c>
      <c r="AH32" s="105">
        <v>3.8206543772804857E-2</v>
      </c>
      <c r="AI32" s="105">
        <v>6.1558713268232625E-2</v>
      </c>
      <c r="AJ32" s="105">
        <v>67</v>
      </c>
      <c r="AK32" s="105">
        <v>1</v>
      </c>
    </row>
    <row r="33" spans="11:37" x14ac:dyDescent="0.25">
      <c r="K33" s="99" t="s">
        <v>447</v>
      </c>
      <c r="L33" s="99">
        <v>0.51881467544684845</v>
      </c>
      <c r="M33" s="99">
        <v>5.084690883925667</v>
      </c>
      <c r="N33" s="99">
        <v>0.45620008667120659</v>
      </c>
      <c r="O33" s="99">
        <v>28.18</v>
      </c>
      <c r="P33" s="99">
        <v>0.12424936544295177</v>
      </c>
      <c r="Q33" s="99">
        <v>0.21983532470748465</v>
      </c>
      <c r="R33" s="99">
        <v>9.7628923419798175E-2</v>
      </c>
      <c r="U33" s="105" t="s">
        <v>423</v>
      </c>
      <c r="V33" s="105">
        <v>2017</v>
      </c>
      <c r="W33" s="105">
        <v>3</v>
      </c>
      <c r="X33" s="105">
        <v>91.140114132901601</v>
      </c>
      <c r="Y33" s="105">
        <v>2076.44</v>
      </c>
      <c r="Z33" s="105">
        <v>3</v>
      </c>
      <c r="AA33" s="105">
        <v>5.9144013747448265E-2</v>
      </c>
      <c r="AB33" s="105">
        <v>9.0447650116429106</v>
      </c>
      <c r="AC33" s="105">
        <v>0.14808840154542216</v>
      </c>
      <c r="AD33" s="105">
        <v>0.72191841927010192</v>
      </c>
      <c r="AE33" s="105">
        <v>0.47688357174719087</v>
      </c>
      <c r="AF33" s="105">
        <v>0.13526220017323456</v>
      </c>
      <c r="AG33" s="105">
        <v>4.4190152064063751E-2</v>
      </c>
      <c r="AH33" s="105">
        <v>0.10178946101396498</v>
      </c>
      <c r="AI33" s="105">
        <v>8.6375361987052257E-2</v>
      </c>
      <c r="AJ33" s="105">
        <v>68</v>
      </c>
      <c r="AK33" s="105">
        <v>1</v>
      </c>
    </row>
    <row r="34" spans="11:37" x14ac:dyDescent="0.25">
      <c r="K34" s="99" t="s">
        <v>448</v>
      </c>
      <c r="L34" s="99">
        <v>0.24882408278457191</v>
      </c>
      <c r="M34" s="99">
        <v>4.9915883811760215</v>
      </c>
      <c r="N34" s="99">
        <v>0.25174967724400354</v>
      </c>
      <c r="O34" s="99">
        <v>26.950000000000003</v>
      </c>
      <c r="P34" s="99">
        <v>2.3985866684786302E-2</v>
      </c>
      <c r="Q34" s="99">
        <v>9.4516545491608359E-2</v>
      </c>
      <c r="R34" s="99">
        <v>-5.1844805327172658E-2</v>
      </c>
      <c r="U34" s="105" t="s">
        <v>423</v>
      </c>
      <c r="V34" s="105">
        <v>2018</v>
      </c>
      <c r="W34" s="105">
        <v>3</v>
      </c>
      <c r="X34" s="105">
        <v>113.82855768154951</v>
      </c>
      <c r="Y34" s="105">
        <v>1702.2800000000007</v>
      </c>
      <c r="Z34" s="105">
        <v>3</v>
      </c>
      <c r="AA34" s="105">
        <v>-0.31535075875045737</v>
      </c>
      <c r="AB34" s="105">
        <v>9.1710141332552748</v>
      </c>
      <c r="AC34" s="105">
        <v>0.12675401508367162</v>
      </c>
      <c r="AD34" s="105">
        <v>0.75010219078317142</v>
      </c>
      <c r="AE34" s="105">
        <v>0.5730463878548463</v>
      </c>
      <c r="AF34" s="105">
        <v>5.1797465668577347E-2</v>
      </c>
      <c r="AG34" s="105">
        <v>4.3679409051243082E-2</v>
      </c>
      <c r="AH34" s="105">
        <v>8.2341328656999876E-2</v>
      </c>
      <c r="AI34" s="105">
        <v>7.3986127016122741E-2</v>
      </c>
      <c r="AJ34" s="105">
        <v>69</v>
      </c>
      <c r="AK34" s="105">
        <v>1</v>
      </c>
    </row>
    <row r="35" spans="11:37" x14ac:dyDescent="0.25">
      <c r="K35" s="99" t="s">
        <v>449</v>
      </c>
      <c r="L35" s="99">
        <v>0.32855920811438344</v>
      </c>
      <c r="M35" s="99">
        <v>7.1710498797833147</v>
      </c>
      <c r="N35" s="99">
        <v>0.33106108929381112</v>
      </c>
      <c r="O35" s="99">
        <v>194.47000000000003</v>
      </c>
      <c r="P35" s="99">
        <v>5.7638659401633863E-4</v>
      </c>
      <c r="Q35" s="99">
        <v>0.11394010190514982</v>
      </c>
      <c r="R35" s="99">
        <v>7.6359695975284539E-2</v>
      </c>
      <c r="U35" s="105" t="s">
        <v>423</v>
      </c>
      <c r="V35" s="105">
        <v>2019</v>
      </c>
      <c r="W35" s="105">
        <v>3</v>
      </c>
      <c r="X35" s="105">
        <v>50.226014373445395</v>
      </c>
      <c r="Y35" s="105">
        <v>2493.3500000000004</v>
      </c>
      <c r="Z35" s="105">
        <v>4</v>
      </c>
      <c r="AA35" s="105">
        <v>6.5706665139825288E-2</v>
      </c>
      <c r="AB35" s="105">
        <v>9.1700390752026575</v>
      </c>
      <c r="AC35" s="105">
        <v>9.2986985944820411E-2</v>
      </c>
      <c r="AD35" s="105">
        <v>0.80086725663716818</v>
      </c>
      <c r="AE35" s="105">
        <v>0.54127850078084327</v>
      </c>
      <c r="AF35" s="105">
        <v>4.15096304008329E-2</v>
      </c>
      <c r="AG35" s="105">
        <v>5.3190005205622073E-2</v>
      </c>
      <c r="AH35" s="105">
        <v>6.5118167621030718E-2</v>
      </c>
      <c r="AI35" s="105">
        <v>9.3552316501821969E-2</v>
      </c>
      <c r="AJ35" s="105">
        <v>70</v>
      </c>
      <c r="AK35" s="105">
        <v>1</v>
      </c>
    </row>
    <row r="36" spans="11:37" x14ac:dyDescent="0.25">
      <c r="K36" s="99" t="s">
        <v>450</v>
      </c>
      <c r="L36" s="99">
        <v>1.547607167158086</v>
      </c>
      <c r="M36" s="99">
        <v>5.8506495504657536</v>
      </c>
      <c r="N36" s="99">
        <v>3.1658320382202268E-4</v>
      </c>
      <c r="O36" s="99">
        <v>184.12000000000003</v>
      </c>
      <c r="P36" s="99">
        <v>0</v>
      </c>
      <c r="Q36" s="99">
        <v>0.23942324296321879</v>
      </c>
      <c r="R36" s="99">
        <v>-0.827001669256893</v>
      </c>
      <c r="U36" s="105" t="s">
        <v>423</v>
      </c>
      <c r="V36" s="105">
        <v>2020</v>
      </c>
      <c r="W36" s="105">
        <v>3</v>
      </c>
      <c r="X36" s="105">
        <v>73.262480984173081</v>
      </c>
      <c r="Y36" s="105">
        <v>2273.0600000000004</v>
      </c>
      <c r="Z36" s="105">
        <v>3</v>
      </c>
      <c r="AA36" s="105">
        <v>9.1698977109580984E-2</v>
      </c>
      <c r="AB36" s="105">
        <v>8.9988795609181214</v>
      </c>
      <c r="AC36" s="105">
        <v>9.1634430893957383E-2</v>
      </c>
      <c r="AD36" s="105">
        <v>0.80429354547375154</v>
      </c>
      <c r="AE36" s="105">
        <v>0.52346117684559312</v>
      </c>
      <c r="AF36" s="105">
        <v>4.1635728149582218E-2</v>
      </c>
      <c r="AG36" s="105">
        <v>3.7484510150098647E-2</v>
      </c>
      <c r="AH36" s="105">
        <v>8.2390557955821647E-2</v>
      </c>
      <c r="AI36" s="105">
        <v>6.3745905923022095E-2</v>
      </c>
      <c r="AJ36" s="105">
        <v>71</v>
      </c>
      <c r="AK36" s="105">
        <v>1</v>
      </c>
    </row>
    <row r="37" spans="11:37" x14ac:dyDescent="0.25">
      <c r="K37" s="99" t="s">
        <v>451</v>
      </c>
      <c r="L37" s="99">
        <v>0.40903525091337889</v>
      </c>
      <c r="M37" s="99">
        <v>9.9198691386598608</v>
      </c>
      <c r="N37" s="99">
        <v>0.20392093979782913</v>
      </c>
      <c r="O37" s="99">
        <v>2902.0699999999997</v>
      </c>
      <c r="P37" s="99">
        <v>4.2955525070178394E-3</v>
      </c>
      <c r="Q37" s="99">
        <v>8.4455589259987404E-2</v>
      </c>
      <c r="R37" s="99">
        <v>5.8620789726482547E-2</v>
      </c>
      <c r="U37" s="105" t="s">
        <v>423</v>
      </c>
      <c r="V37" s="105">
        <v>2021</v>
      </c>
      <c r="W37" s="105">
        <v>3</v>
      </c>
      <c r="X37" s="105">
        <v>110.14597795397529</v>
      </c>
      <c r="Y37" s="105">
        <v>2149.7200000000003</v>
      </c>
      <c r="Z37" s="105">
        <v>4</v>
      </c>
      <c r="AA37" s="105">
        <v>-0.20425122965498582</v>
      </c>
      <c r="AB37" s="105">
        <v>8.9874130472833116</v>
      </c>
      <c r="AC37" s="105">
        <v>9.7820096404152609E-2</v>
      </c>
      <c r="AD37" s="105">
        <v>0.77601468682397434</v>
      </c>
      <c r="AE37" s="105">
        <v>0.50735778387923613</v>
      </c>
      <c r="AF37" s="105">
        <v>4.1942180003574234E-2</v>
      </c>
      <c r="AG37" s="105">
        <v>2.7396575490550169E-2</v>
      </c>
      <c r="AH37" s="105">
        <v>3.9768899975380329E-2</v>
      </c>
      <c r="AI37" s="105">
        <v>3.9570192945775476E-2</v>
      </c>
      <c r="AJ37" s="105">
        <v>72</v>
      </c>
      <c r="AK37" s="105">
        <v>1</v>
      </c>
    </row>
    <row r="38" spans="11:37" x14ac:dyDescent="0.25">
      <c r="K38" s="99" t="s">
        <v>452</v>
      </c>
      <c r="L38" s="99">
        <v>0.35550277117973078</v>
      </c>
      <c r="M38" s="99">
        <v>2.1294214739848565</v>
      </c>
      <c r="N38" s="99">
        <v>5.7074910820451838E-2</v>
      </c>
      <c r="O38" s="99">
        <v>3.0200000000000005</v>
      </c>
      <c r="P38" s="99">
        <v>0.35077288941736029</v>
      </c>
      <c r="Q38" s="99">
        <v>3.4482758620689655E-2</v>
      </c>
      <c r="R38" s="99">
        <v>0.10344827586206896</v>
      </c>
      <c r="U38" s="105" t="s">
        <v>423</v>
      </c>
      <c r="V38" s="105">
        <v>2022</v>
      </c>
      <c r="W38" s="105">
        <v>3</v>
      </c>
      <c r="X38" s="105">
        <v>59.208620428729802</v>
      </c>
      <c r="Y38" s="105">
        <v>2631.55</v>
      </c>
      <c r="Z38" s="105">
        <v>3</v>
      </c>
      <c r="AA38" s="105">
        <v>0.19121449247974989</v>
      </c>
      <c r="AB38" s="105">
        <v>9.0377913084410508</v>
      </c>
      <c r="AC38" s="105">
        <v>9.7084194377534863E-2</v>
      </c>
      <c r="AD38" s="105">
        <v>0.79667790430852858</v>
      </c>
      <c r="AE38" s="105">
        <v>0.48396289082692329</v>
      </c>
      <c r="AF38" s="105">
        <v>3.5334996203285257E-2</v>
      </c>
      <c r="AG38" s="105">
        <v>6.1758704815232497E-2</v>
      </c>
      <c r="AH38" s="105">
        <v>7.7264036258328714E-2</v>
      </c>
      <c r="AI38" s="105">
        <v>8.6258506958267034E-2</v>
      </c>
      <c r="AJ38" s="105">
        <v>73</v>
      </c>
      <c r="AK38" s="105">
        <v>1</v>
      </c>
    </row>
    <row r="39" spans="11:37" x14ac:dyDescent="0.25">
      <c r="K39" s="99" t="s">
        <v>453</v>
      </c>
      <c r="L39" s="99">
        <v>2.1384702070714185</v>
      </c>
      <c r="M39" s="99">
        <v>7.354208767767612</v>
      </c>
      <c r="N39" s="99">
        <v>0.75363459520335818</v>
      </c>
      <c r="O39" s="99">
        <v>-433.93000000000006</v>
      </c>
      <c r="P39" s="99">
        <v>9.9234687348025291E-2</v>
      </c>
      <c r="Q39" s="99">
        <v>-0.10735493613862654</v>
      </c>
      <c r="R39" s="99">
        <v>-1.2785072563925363E-2</v>
      </c>
      <c r="U39" s="105" t="s">
        <v>451</v>
      </c>
      <c r="V39" s="105">
        <v>2011</v>
      </c>
      <c r="W39" s="105">
        <v>4</v>
      </c>
      <c r="X39" s="105">
        <v>83.47433668846476</v>
      </c>
      <c r="Y39" s="105">
        <v>49.67</v>
      </c>
      <c r="Z39" s="105">
        <v>3</v>
      </c>
      <c r="AA39" s="105">
        <v>0</v>
      </c>
      <c r="AB39" s="105">
        <v>5.0293916225786992</v>
      </c>
      <c r="AC39" s="105">
        <v>0.34886155456686729</v>
      </c>
      <c r="AD39" s="105">
        <v>0.47598796126668408</v>
      </c>
      <c r="AE39" s="105">
        <v>0.15100758963622088</v>
      </c>
      <c r="AF39" s="105">
        <v>3.2648521329494896E-2</v>
      </c>
      <c r="AG39" s="105">
        <v>0.1727296519235802</v>
      </c>
      <c r="AH39" s="105">
        <v>0.32072755823082966</v>
      </c>
      <c r="AI39" s="105">
        <v>0.25726249672860507</v>
      </c>
      <c r="AJ39" s="105">
        <v>20</v>
      </c>
      <c r="AK39" s="105">
        <v>0</v>
      </c>
    </row>
    <row r="40" spans="11:37" x14ac:dyDescent="0.25">
      <c r="K40" s="99" t="s">
        <v>454</v>
      </c>
      <c r="L40" s="99">
        <v>1.2908704883227176</v>
      </c>
      <c r="M40" s="99">
        <v>1.8976198599275322</v>
      </c>
      <c r="N40" s="99">
        <v>0.24737631184407796</v>
      </c>
      <c r="O40" s="99">
        <v>-7.1</v>
      </c>
      <c r="P40" s="99">
        <v>1.2068965517241381</v>
      </c>
      <c r="Q40" s="99">
        <v>-4.4977511244377807E-2</v>
      </c>
      <c r="R40" s="99">
        <v>9.7451274362818599E-2</v>
      </c>
      <c r="U40" s="105" t="s">
        <v>451</v>
      </c>
      <c r="V40" s="105">
        <v>2012</v>
      </c>
      <c r="W40" s="105">
        <v>4</v>
      </c>
      <c r="X40" s="105">
        <v>99.392423017102061</v>
      </c>
      <c r="Y40" s="105">
        <v>66.8</v>
      </c>
      <c r="Z40" s="105">
        <v>2</v>
      </c>
      <c r="AA40" s="105">
        <v>0.21110296140093524</v>
      </c>
      <c r="AB40" s="105">
        <v>5.2921986855398595</v>
      </c>
      <c r="AC40" s="105">
        <v>0.39737398128584361</v>
      </c>
      <c r="AD40" s="105">
        <v>0.47791528322768889</v>
      </c>
      <c r="AE40" s="105">
        <v>0.14186537881074554</v>
      </c>
      <c r="AF40" s="105">
        <v>3.2246704899889324E-2</v>
      </c>
      <c r="AG40" s="105">
        <v>0.19815876848777544</v>
      </c>
      <c r="AH40" s="105">
        <v>0.20298822819197104</v>
      </c>
      <c r="AI40" s="105">
        <v>0.30003018412315124</v>
      </c>
      <c r="AJ40" s="105">
        <v>21</v>
      </c>
      <c r="AK40" s="105">
        <v>0</v>
      </c>
    </row>
    <row r="41" spans="11:37" x14ac:dyDescent="0.25">
      <c r="K41" s="99" t="s">
        <v>455</v>
      </c>
      <c r="L41" s="99">
        <v>-0.15305711987127915</v>
      </c>
      <c r="M41" s="99">
        <v>3.9479691322016151</v>
      </c>
      <c r="N41" s="99">
        <v>0.32124252363496042</v>
      </c>
      <c r="O41" s="99">
        <v>1.0199999999999996</v>
      </c>
      <c r="P41" s="99">
        <v>0.29673934015049203</v>
      </c>
      <c r="Q41" s="99">
        <v>4.5340536368898322E-2</v>
      </c>
      <c r="R41" s="99">
        <v>-6.0196797221686284E-2</v>
      </c>
      <c r="U41" s="105" t="s">
        <v>451</v>
      </c>
      <c r="V41" s="105">
        <v>2013</v>
      </c>
      <c r="W41" s="105">
        <v>4</v>
      </c>
      <c r="X41" s="105">
        <v>98.520588989838572</v>
      </c>
      <c r="Y41" s="105">
        <v>66.989999999999995</v>
      </c>
      <c r="Z41" s="105">
        <v>2</v>
      </c>
      <c r="AA41" s="105">
        <v>5.7307241000794831E-2</v>
      </c>
      <c r="AB41" s="105">
        <v>5.633824852232399</v>
      </c>
      <c r="AC41" s="105">
        <v>0.31980838665856359</v>
      </c>
      <c r="AD41" s="105">
        <v>0.52114539019769057</v>
      </c>
      <c r="AE41" s="105">
        <v>0.28166446215993995</v>
      </c>
      <c r="AF41" s="105">
        <v>2.3022199978550744E-2</v>
      </c>
      <c r="AG41" s="105">
        <v>0.10842598219711863</v>
      </c>
      <c r="AH41" s="105">
        <v>0.1380974511135738</v>
      </c>
      <c r="AI41" s="105">
        <v>0.16208486755085261</v>
      </c>
      <c r="AJ41" s="105">
        <v>22</v>
      </c>
      <c r="AK41" s="105">
        <v>0</v>
      </c>
    </row>
    <row r="42" spans="11:37" x14ac:dyDescent="0.25">
      <c r="K42" s="99" t="s">
        <v>456</v>
      </c>
      <c r="L42" s="99">
        <v>0.92064439140811427</v>
      </c>
      <c r="M42" s="99">
        <v>4.0205186015814451</v>
      </c>
      <c r="N42" s="99">
        <v>0.60595729409653698</v>
      </c>
      <c r="O42" s="99">
        <v>-0.46000000000000085</v>
      </c>
      <c r="P42" s="99">
        <v>0.22967880854118072</v>
      </c>
      <c r="Q42" s="99">
        <v>9.474250852323704E-2</v>
      </c>
      <c r="R42" s="99">
        <v>0.10784137807285125</v>
      </c>
      <c r="U42" s="105" t="s">
        <v>451</v>
      </c>
      <c r="V42" s="105">
        <v>2014</v>
      </c>
      <c r="W42" s="105">
        <v>4</v>
      </c>
      <c r="X42" s="105">
        <v>93.729688991206757</v>
      </c>
      <c r="Y42" s="105">
        <v>51.379999999999995</v>
      </c>
      <c r="Z42" s="105">
        <v>2</v>
      </c>
      <c r="AA42" s="105">
        <v>0.248917051516128</v>
      </c>
      <c r="AB42" s="105">
        <v>6.2672384984853906</v>
      </c>
      <c r="AC42" s="105">
        <v>0.3423778983719783</v>
      </c>
      <c r="AD42" s="105">
        <v>0.29137414139880841</v>
      </c>
      <c r="AE42" s="105">
        <v>0.19388258510113471</v>
      </c>
      <c r="AF42" s="105">
        <v>0.19570414785017648</v>
      </c>
      <c r="AG42" s="105">
        <v>5.7265378923001028E-2</v>
      </c>
      <c r="AH42" s="105">
        <v>0.12310728245607377</v>
      </c>
      <c r="AI42" s="105">
        <v>0.1193503092861751</v>
      </c>
      <c r="AJ42" s="105">
        <v>23</v>
      </c>
      <c r="AK42" s="105">
        <v>0</v>
      </c>
    </row>
    <row r="43" spans="11:37" x14ac:dyDescent="0.25">
      <c r="K43" s="99" t="s">
        <v>457</v>
      </c>
      <c r="L43" s="99">
        <v>-0.59021058622652256</v>
      </c>
      <c r="M43" s="99">
        <v>2.8644839869440371</v>
      </c>
      <c r="N43" s="99">
        <v>0.14937286202964653</v>
      </c>
      <c r="O43" s="99">
        <v>2.4499999999999997</v>
      </c>
      <c r="P43" s="99">
        <v>0</v>
      </c>
      <c r="Q43" s="99">
        <v>-3.4777651083238312E-2</v>
      </c>
      <c r="R43" s="99">
        <v>1.0262257696693273E-2</v>
      </c>
      <c r="U43" s="105" t="s">
        <v>451</v>
      </c>
      <c r="V43" s="105">
        <v>2015</v>
      </c>
      <c r="W43" s="105">
        <v>4</v>
      </c>
      <c r="X43" s="105">
        <v>100.28260912513679</v>
      </c>
      <c r="Y43" s="105">
        <v>31.659999999999997</v>
      </c>
      <c r="Z43" s="105">
        <v>3</v>
      </c>
      <c r="AA43" s="105">
        <v>0.26520667316401991</v>
      </c>
      <c r="AB43" s="105">
        <v>6.3276867524739853</v>
      </c>
      <c r="AC43" s="105">
        <v>0.28814346443753791</v>
      </c>
      <c r="AD43" s="105">
        <v>0.31113135426713823</v>
      </c>
      <c r="AE43" s="105">
        <v>0.25458150251848677</v>
      </c>
      <c r="AF43" s="105">
        <v>0.10938448897938771</v>
      </c>
      <c r="AG43" s="105">
        <v>6.1408209195155938E-2</v>
      </c>
      <c r="AH43" s="105">
        <v>8.7504018861858324E-2</v>
      </c>
      <c r="AI43" s="105">
        <v>0.11618976172614581</v>
      </c>
      <c r="AJ43" s="105">
        <v>24</v>
      </c>
      <c r="AK43" s="105">
        <v>0</v>
      </c>
    </row>
    <row r="44" spans="11:37" x14ac:dyDescent="0.25">
      <c r="K44" s="99" t="s">
        <v>458</v>
      </c>
      <c r="L44" s="99">
        <v>0.516678495386799</v>
      </c>
      <c r="M44" s="99">
        <v>4.721084810584447</v>
      </c>
      <c r="N44" s="99">
        <v>9.4131267254430495E-2</v>
      </c>
      <c r="O44" s="99">
        <v>14.369999999999997</v>
      </c>
      <c r="P44" s="99">
        <v>7.2758037225042302E-2</v>
      </c>
      <c r="Q44" s="99">
        <v>0.15958678421943184</v>
      </c>
      <c r="R44" s="99">
        <v>-2.8942915664796509E-2</v>
      </c>
      <c r="U44" s="105" t="s">
        <v>451</v>
      </c>
      <c r="V44" s="105">
        <v>2016</v>
      </c>
      <c r="W44" s="105">
        <v>4</v>
      </c>
      <c r="X44" s="105">
        <v>88.414146204386753</v>
      </c>
      <c r="Y44" s="105">
        <v>51.150000000000006</v>
      </c>
      <c r="Z44" s="105">
        <v>4</v>
      </c>
      <c r="AA44" s="105">
        <v>3.7314785445647806E-2</v>
      </c>
      <c r="AB44" s="105">
        <v>6.2534248838538078</v>
      </c>
      <c r="AC44" s="105">
        <v>0.25710383039304335</v>
      </c>
      <c r="AD44" s="105">
        <v>0.29163700725292907</v>
      </c>
      <c r="AE44" s="105">
        <v>0.19323188210623521</v>
      </c>
      <c r="AF44" s="105">
        <v>7.2721676061486371E-2</v>
      </c>
      <c r="AG44" s="105">
        <v>5.2271109486523408E-2</v>
      </c>
      <c r="AH44" s="105">
        <v>0.12172223397910696</v>
      </c>
      <c r="AI44" s="105">
        <v>9.5961830739337048E-2</v>
      </c>
      <c r="AJ44" s="105">
        <v>25</v>
      </c>
      <c r="AK44" s="105">
        <v>0</v>
      </c>
    </row>
    <row r="45" spans="11:37" x14ac:dyDescent="0.25">
      <c r="K45" s="99" t="s">
        <v>459</v>
      </c>
      <c r="L45" s="99">
        <v>0.47774361716348068</v>
      </c>
      <c r="M45" s="99">
        <v>6.1381589262587859</v>
      </c>
      <c r="N45" s="99">
        <v>0.23786701208981004</v>
      </c>
      <c r="O45" s="99">
        <v>125.94000000000001</v>
      </c>
      <c r="P45" s="99">
        <v>4.03713298791019E-3</v>
      </c>
      <c r="Q45" s="99">
        <v>0.13819084628670122</v>
      </c>
      <c r="R45" s="99">
        <v>5.6973229706390328E-2</v>
      </c>
      <c r="U45" s="105" t="s">
        <v>451</v>
      </c>
      <c r="V45" s="105">
        <v>2017</v>
      </c>
      <c r="W45" s="105">
        <v>4</v>
      </c>
      <c r="X45" s="105">
        <v>80.2829437518009</v>
      </c>
      <c r="Y45" s="105">
        <v>47.180000000000007</v>
      </c>
      <c r="Z45" s="105">
        <v>3</v>
      </c>
      <c r="AA45" s="105">
        <v>-3.175712569618875E-2</v>
      </c>
      <c r="AB45" s="105">
        <v>6.2797214543106055</v>
      </c>
      <c r="AC45" s="105">
        <v>0.28172550783299605</v>
      </c>
      <c r="AD45" s="105">
        <v>0.26990105689228694</v>
      </c>
      <c r="AE45" s="105">
        <v>0.18148939359868074</v>
      </c>
      <c r="AF45" s="105">
        <v>1.8739224945656247E-2</v>
      </c>
      <c r="AG45" s="105">
        <v>6.1558353946480779E-2</v>
      </c>
      <c r="AH45" s="105">
        <v>0.18124578367438723</v>
      </c>
      <c r="AI45" s="105">
        <v>0.10076081253279365</v>
      </c>
      <c r="AJ45" s="105">
        <v>26</v>
      </c>
      <c r="AK45" s="105">
        <v>0</v>
      </c>
    </row>
    <row r="46" spans="11:37" x14ac:dyDescent="0.25">
      <c r="K46" s="99" t="s">
        <v>460</v>
      </c>
      <c r="L46" s="99">
        <v>-3.7674615493156503E-2</v>
      </c>
      <c r="M46" s="99">
        <v>6.2751762480558675</v>
      </c>
      <c r="N46" s="99">
        <v>0.24854109408531305</v>
      </c>
      <c r="O46" s="99">
        <v>140.36000000000001</v>
      </c>
      <c r="P46" s="99">
        <v>1.7883362825194832E-3</v>
      </c>
      <c r="Q46" s="99">
        <v>0.13617710176574677</v>
      </c>
      <c r="R46" s="99">
        <v>6.9858062572945287E-2</v>
      </c>
      <c r="U46" s="105" t="s">
        <v>451</v>
      </c>
      <c r="V46" s="105">
        <v>2018</v>
      </c>
      <c r="W46" s="105">
        <v>4</v>
      </c>
      <c r="X46" s="105">
        <v>88.321295595817062</v>
      </c>
      <c r="Y46" s="105">
        <v>80.66</v>
      </c>
      <c r="Z46" s="105">
        <v>3</v>
      </c>
      <c r="AA46" s="105">
        <v>8.8470821772574426E-2</v>
      </c>
      <c r="AB46" s="105">
        <v>6.4128358122332028</v>
      </c>
      <c r="AC46" s="105">
        <v>0.25916144483448705</v>
      </c>
      <c r="AD46" s="105">
        <v>0.32864735408943274</v>
      </c>
      <c r="AE46" s="105">
        <v>0.19633542206620516</v>
      </c>
      <c r="AF46" s="105">
        <v>0</v>
      </c>
      <c r="AG46" s="105">
        <v>8.3822709228699846E-2</v>
      </c>
      <c r="AH46" s="105">
        <v>0.11497326203208556</v>
      </c>
      <c r="AI46" s="105">
        <v>0.12934286932843408</v>
      </c>
      <c r="AJ46" s="105">
        <v>27</v>
      </c>
      <c r="AK46" s="105">
        <v>0</v>
      </c>
    </row>
    <row r="47" spans="11:37" x14ac:dyDescent="0.25">
      <c r="K47" s="99" t="s">
        <v>461</v>
      </c>
      <c r="L47" s="99">
        <v>0.11711509548279962</v>
      </c>
      <c r="M47" s="99">
        <v>6.2336849722269276</v>
      </c>
      <c r="N47" s="99">
        <v>0.30753684045287755</v>
      </c>
      <c r="O47" s="99">
        <v>153.09</v>
      </c>
      <c r="P47" s="99">
        <v>6.4537017051586446E-2</v>
      </c>
      <c r="Q47" s="99">
        <v>0.13978768910778408</v>
      </c>
      <c r="R47" s="99">
        <v>8.5964327060808823E-2</v>
      </c>
    </row>
    <row r="48" spans="11:37" x14ac:dyDescent="0.25">
      <c r="K48" s="99" t="s">
        <v>462</v>
      </c>
      <c r="L48" s="99">
        <v>0.68643752624317689</v>
      </c>
      <c r="M48" s="99">
        <v>6.0710148258659915</v>
      </c>
      <c r="N48" s="99">
        <v>0.16718230513483559</v>
      </c>
      <c r="O48" s="99">
        <v>176.89</v>
      </c>
      <c r="P48" s="99">
        <v>7.9446804580716651E-2</v>
      </c>
      <c r="Q48" s="99">
        <v>0.14753417066863686</v>
      </c>
      <c r="R48" s="99">
        <v>6.7071481344661982E-2</v>
      </c>
    </row>
    <row r="49" spans="11:18" x14ac:dyDescent="0.25">
      <c r="K49" s="99" t="s">
        <v>463</v>
      </c>
      <c r="L49" s="99">
        <v>0.76693011002634437</v>
      </c>
      <c r="M49" s="99">
        <v>5.5197795050797085</v>
      </c>
      <c r="N49" s="99">
        <v>0.45804952319897424</v>
      </c>
      <c r="O49" s="99">
        <v>31.710000000000008</v>
      </c>
      <c r="P49" s="99">
        <v>0</v>
      </c>
      <c r="Q49" s="99">
        <v>0.22682105937975797</v>
      </c>
      <c r="R49" s="99">
        <v>7.5046077410048886E-2</v>
      </c>
    </row>
    <row r="50" spans="11:18" x14ac:dyDescent="0.25">
      <c r="K50" s="99" t="s">
        <v>464</v>
      </c>
      <c r="L50" s="99">
        <v>0.15521731157161214</v>
      </c>
      <c r="M50" s="99">
        <v>4.7356719940522494</v>
      </c>
      <c r="N50" s="99">
        <v>0.22898016499912235</v>
      </c>
      <c r="O50" s="99">
        <v>15.480000000000004</v>
      </c>
      <c r="P50" s="99">
        <v>0.12883974021414779</v>
      </c>
      <c r="Q50" s="99">
        <v>7.4161839564683169E-2</v>
      </c>
      <c r="R50" s="99">
        <v>5.3888011233982798E-2</v>
      </c>
    </row>
    <row r="51" spans="11:18" x14ac:dyDescent="0.25">
      <c r="K51" s="99" t="s">
        <v>465</v>
      </c>
      <c r="L51" s="99">
        <v>-1.5567421222832228E-2</v>
      </c>
      <c r="M51" s="99">
        <v>6.4531051787702491</v>
      </c>
      <c r="N51" s="99">
        <v>0.4591047315927963</v>
      </c>
      <c r="O51" s="99">
        <v>131.22</v>
      </c>
      <c r="P51" s="99">
        <v>1.5803488427056582E-2</v>
      </c>
      <c r="Q51" s="99">
        <v>5.9936659996533637E-2</v>
      </c>
      <c r="R51" s="99">
        <v>-4.5440937810200581E-2</v>
      </c>
    </row>
    <row r="52" spans="11:18" x14ac:dyDescent="0.25">
      <c r="K52" s="99" t="s">
        <v>466</v>
      </c>
      <c r="L52" s="99">
        <v>0.32769044740024195</v>
      </c>
      <c r="M52" s="99">
        <v>5.6579479383124021</v>
      </c>
      <c r="N52" s="99">
        <v>0.67881072026800671</v>
      </c>
      <c r="O52" s="99">
        <v>-62.139999999999986</v>
      </c>
      <c r="P52" s="99">
        <v>0.88288665549972078</v>
      </c>
      <c r="Q52" s="99">
        <v>2.0379676158570632E-2</v>
      </c>
      <c r="R52" s="99">
        <v>3.9921831379117811E-2</v>
      </c>
    </row>
    <row r="53" spans="11:18" x14ac:dyDescent="0.25">
      <c r="K53" s="99" t="s">
        <v>467</v>
      </c>
      <c r="L53" s="99">
        <v>0.44031793887899129</v>
      </c>
      <c r="M53" s="99">
        <v>4.8147015098824388</v>
      </c>
      <c r="N53" s="99">
        <v>0.42616170626875349</v>
      </c>
      <c r="O53" s="99">
        <v>24.4</v>
      </c>
      <c r="P53" s="99">
        <v>6.7147838780309776E-2</v>
      </c>
      <c r="Q53" s="99">
        <v>6.3093017597923934E-2</v>
      </c>
      <c r="R53" s="99">
        <v>-1.8895466709918093E-2</v>
      </c>
    </row>
    <row r="54" spans="11:18" x14ac:dyDescent="0.25">
      <c r="K54" s="99" t="s">
        <v>468</v>
      </c>
      <c r="L54" s="99">
        <v>0.1552459179206867</v>
      </c>
      <c r="M54" s="99">
        <v>8.299062056925564</v>
      </c>
      <c r="N54" s="99">
        <v>0.36912265864033234</v>
      </c>
      <c r="O54" s="99">
        <v>1587.31</v>
      </c>
      <c r="P54" s="99">
        <v>4.0620880077610003E-3</v>
      </c>
      <c r="Q54" s="99">
        <v>0.2326335165791896</v>
      </c>
      <c r="R54" s="99">
        <v>0.13490709186338648</v>
      </c>
    </row>
    <row r="55" spans="11:18" x14ac:dyDescent="0.25">
      <c r="K55" s="99" t="s">
        <v>469</v>
      </c>
      <c r="L55" s="99">
        <v>0.4442130126691004</v>
      </c>
      <c r="M55" s="99">
        <v>5.5802957035831389</v>
      </c>
      <c r="N55" s="99">
        <v>0.1522911559494626</v>
      </c>
      <c r="O55" s="99">
        <v>77.84</v>
      </c>
      <c r="P55" s="99">
        <v>0</v>
      </c>
      <c r="Q55" s="99">
        <v>0.20388459362624931</v>
      </c>
      <c r="R55" s="99">
        <v>9.5266830096171998E-2</v>
      </c>
    </row>
    <row r="56" spans="11:18" x14ac:dyDescent="0.25">
      <c r="K56" s="99" t="s">
        <v>470</v>
      </c>
      <c r="L56" s="99">
        <v>0.42783174975979504</v>
      </c>
      <c r="M56" s="99">
        <v>5.0805344214759227</v>
      </c>
      <c r="N56" s="99">
        <v>0.23417878900907621</v>
      </c>
      <c r="O56" s="99">
        <v>24.450000000000003</v>
      </c>
      <c r="P56" s="99">
        <v>0.15640930001243317</v>
      </c>
      <c r="Q56" s="99">
        <v>9.5486758672137254E-2</v>
      </c>
      <c r="R56" s="99">
        <v>9.623274897426333E-2</v>
      </c>
    </row>
    <row r="57" spans="11:18" x14ac:dyDescent="0.25">
      <c r="K57" s="99" t="s">
        <v>471</v>
      </c>
      <c r="L57" s="99">
        <v>0.21686599951183794</v>
      </c>
      <c r="M57" s="99">
        <v>6.2873007838156321</v>
      </c>
      <c r="N57" s="99">
        <v>0.25032546029384412</v>
      </c>
      <c r="O57" s="99">
        <v>-43.91</v>
      </c>
      <c r="P57" s="99">
        <v>2.8231355774595495E-2</v>
      </c>
      <c r="Q57" s="99">
        <v>8.134647572996094E-2</v>
      </c>
      <c r="R57" s="99">
        <v>0.10511437604612237</v>
      </c>
    </row>
    <row r="58" spans="11:18" x14ac:dyDescent="0.25">
      <c r="K58" s="99" t="s">
        <v>472</v>
      </c>
      <c r="L58" s="99">
        <v>0.52996460393018441</v>
      </c>
      <c r="M58" s="99">
        <v>6.0066486824330223</v>
      </c>
      <c r="N58" s="99">
        <v>0.56936373485669256</v>
      </c>
      <c r="O58" s="99">
        <v>66.930000000000007</v>
      </c>
      <c r="P58" s="99">
        <v>5.5402344134738497E-2</v>
      </c>
      <c r="Q58" s="99">
        <v>5.2964640992810008E-2</v>
      </c>
      <c r="R58" s="99">
        <v>1.0637250073869793E-2</v>
      </c>
    </row>
    <row r="59" spans="11:18" x14ac:dyDescent="0.25">
      <c r="K59" s="99" t="s">
        <v>473</v>
      </c>
      <c r="L59" s="99">
        <v>0.3876337409247228</v>
      </c>
      <c r="M59" s="99">
        <v>7.507552856550392</v>
      </c>
      <c r="N59" s="99">
        <v>0.1281679703581721</v>
      </c>
      <c r="O59" s="99">
        <v>19.319999999999936</v>
      </c>
      <c r="P59" s="99">
        <v>9.1615205159873755E-3</v>
      </c>
      <c r="Q59" s="99">
        <v>-0.18120488541237822</v>
      </c>
      <c r="R59" s="99">
        <v>0.12532455056950734</v>
      </c>
    </row>
    <row r="60" spans="11:18" x14ac:dyDescent="0.25">
      <c r="K60" s="99"/>
      <c r="L60" s="99"/>
      <c r="M60" s="99"/>
      <c r="N60" s="99"/>
      <c r="O60" s="99"/>
      <c r="P60" s="99"/>
      <c r="Q60" s="99"/>
      <c r="R60" s="99"/>
    </row>
    <row r="61" spans="11:18" x14ac:dyDescent="0.25">
      <c r="K61" s="99"/>
      <c r="L61" s="99"/>
      <c r="M61" s="99"/>
      <c r="N61" s="99"/>
      <c r="O61" s="99"/>
      <c r="P61" s="99"/>
      <c r="Q61" s="99"/>
      <c r="R61" s="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Funda</vt:lpstr>
      <vt:lpstr>Titan BS</vt:lpstr>
      <vt:lpstr>Titan PL</vt:lpstr>
      <vt:lpstr>Answer key</vt:lpstr>
      <vt:lpstr>Avenue Supmrt_PL</vt:lpstr>
      <vt:lpstr>Avenue Supmrt_BS</vt:lpstr>
      <vt:lpstr>Change in Inv.</vt:lpstr>
      <vt:lpstr>Example of Data Struc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Himansu</dc:creator>
  <cp:lastModifiedBy>Himansu Sekhar Sethi</cp:lastModifiedBy>
  <dcterms:created xsi:type="dcterms:W3CDTF">2015-06-05T18:17:20Z</dcterms:created>
  <dcterms:modified xsi:type="dcterms:W3CDTF">2026-02-14T06:28:28Z</dcterms:modified>
</cp:coreProperties>
</file>